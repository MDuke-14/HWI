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dro Duarte\Desktop\Ponto\"/>
    </mc:Choice>
  </mc:AlternateContent>
  <xr:revisionPtr revIDLastSave="0" documentId="13_ncr:1_{B30CBB64-A26D-488A-8EC6-771660380C20}" xr6:coauthVersionLast="47" xr6:coauthVersionMax="47" xr10:uidLastSave="{00000000-0000-0000-0000-000000000000}"/>
  <bookViews>
    <workbookView xWindow="28680" yWindow="-30" windowWidth="29040" windowHeight="15720" activeTab="1" xr2:uid="{8F328D9D-7604-4E24-ABD9-903FB78559CB}"/>
  </bookViews>
  <sheets>
    <sheet name="Calendar 2025" sheetId="3" r:id="rId1"/>
    <sheet name="Calendar 2026" sheetId="2" r:id="rId2"/>
  </sheets>
  <externalReferences>
    <externalReference r:id="rId3"/>
  </externalReferences>
  <definedNames>
    <definedName name="_xlnm._FilterDatabase" localSheetId="0" hidden="1">'Calendar 2025'!$A$21:$AV$21</definedName>
    <definedName name="_xlnm._FilterDatabase" localSheetId="1" hidden="1">'Calendar 2026'!$A$21:$AV$21</definedName>
    <definedName name="ANO">[1]Sheet1!$A$2:$A$180</definedName>
    <definedName name="_xlnm.Print_Area" localSheetId="0">'Calendar 2025'!$A$15:$AV$139</definedName>
    <definedName name="_xlnm.Print_Area" localSheetId="1">'Calendar 2026'!$A$15:$AV$139</definedName>
    <definedName name="HEADDAYA3" localSheetId="0">'Calendar 2025'!$C$110:$I$113,'Calendar 2025'!$C$102:$I$105,'Calendar 2025'!$C$94:$I$97,'Calendar 2025'!$C$70:$I$73,'Calendar 2025'!$C$78:$I$81,'Calendar 2025'!$C$86:$I$89,'Calendar 2025'!$C$62:$I$65,'Calendar 2025'!$C$54:$I$57,'Calendar 2025'!$AL$54:$AR$54,'Calendar 2025'!$C$46:$I$49,'Calendar 2025'!$C$22:$I$24,'Calendar 2025'!$C$30:$I$33,'Calendar 2025'!$C$38:$I$41</definedName>
    <definedName name="HEADDAYA3" localSheetId="1">'Calendar 2026'!$C$110:$I$113,'Calendar 2026'!$C$102:$I$105,'Calendar 2026'!$C$94:$I$97,'Calendar 2026'!$C$70:$I$73,'Calendar 2026'!$C$78:$I$81,'Calendar 2026'!$C$86:$I$89,'Calendar 2026'!$C$62:$I$65,'Calendar 2026'!$C$54:$I$57,'Calendar 2026'!$AL$54:$AR$54,'Calendar 2026'!$C$46:$I$49,'Calendar 2026'!$C$22:$I$24,'Calendar 2026'!$C$30:$I$33,'Calendar 2026'!$C$38:$I$41</definedName>
    <definedName name="HEADDAYA3">#REF!,#REF!,#REF!,#REF!,#REF!,#REF!,#REF!,#REF!,#REF!,#REF!,#REF!,#REF!,#REF!</definedName>
    <definedName name="HEADDAYA4" localSheetId="0">'Calendar 2025'!$C$22:$I$24,'Calendar 2025'!$C$30,'Calendar 2025'!$I$30,'Calendar 2025'!$C$30:$I$33,'Calendar 2025'!$C$38:$I$41,'Calendar 2025'!$C$46:$I$49,'Calendar 2025'!$C$54:$I$57,'Calendar 2025'!$C$62:$I$65,'Calendar 2025'!$C$70:$I$73,'Calendar 2025'!$C$78:$I$81,'Calendar 2025'!$C$78:$I$81,'Calendar 2025'!$C$86:$I$89,'Calendar 2025'!$AK$86,'Calendar 2025'!$C$86:$I$89,'Calendar 2025'!$C$94:$I$97,'Calendar 2025'!$C$102:$I$105,'Calendar 2025'!$C$110:$I$113</definedName>
    <definedName name="HEADDAYA4" localSheetId="1">'Calendar 2026'!$C$22:$I$24,'Calendar 2026'!$C$30,'Calendar 2026'!$I$30,'Calendar 2026'!$C$30:$I$33,'Calendar 2026'!$C$38:$I$41,'Calendar 2026'!$C$46:$I$49,'Calendar 2026'!$C$54:$I$57,'Calendar 2026'!$C$62:$I$65,'Calendar 2026'!$C$70:$I$73,'Calendar 2026'!$C$78:$I$81,'Calendar 2026'!$C$78:$I$81,'Calendar 2026'!$C$86:$I$89,'Calendar 2026'!$AK$86,'Calendar 2026'!$C$86:$I$89,'Calendar 2026'!$C$94:$I$97,'Calendar 2026'!$C$102:$I$105,'Calendar 2026'!$C$110:$I$113</definedName>
    <definedName name="HEADDAYA4">#REF!,#REF!,#REF!,#REF!,#REF!,#REF!,#REF!,#REF!,#REF!,#REF!,#REF!,#REF!,#REF!,#REF!,#REF!,#REF!,#REF!</definedName>
    <definedName name="HEADWEEKA3" localSheetId="0">'Calendar 2025'!$C$21:$I$21,'Calendar 2025'!$C$29:$I$29,'Calendar 2025'!$C$37:$I$37,'Calendar 2025'!$C$45:$I$45,'Calendar 2025'!$C$53:$I$53,'Calendar 2025'!$C$61:$I$61,'Calendar 2025'!$C$69:$I$69,'Calendar 2025'!$C$77:$I$77,'Calendar 2025'!$C$85:$I$85,'Calendar 2025'!$C$93:$I$93,'Calendar 2025'!$C$101:$I$101,'Calendar 2025'!$C$109:$I$109</definedName>
    <definedName name="HEADWEEKA3" localSheetId="1">'Calendar 2026'!$C$21:$I$21,'Calendar 2026'!$C$29:$I$29,'Calendar 2026'!$C$37:$I$37,'Calendar 2026'!$C$45:$I$45,'Calendar 2026'!$C$53:$I$53,'Calendar 2026'!$C$61:$I$61,'Calendar 2026'!$C$69:$I$69,'Calendar 2026'!$C$77:$I$77,'Calendar 2026'!$C$85:$I$85,'Calendar 2026'!$C$93:$I$93,'Calendar 2026'!$C$101:$I$101,'Calendar 2026'!$C$109:$I$109</definedName>
    <definedName name="HEADWEEKA3">#REF!,#REF!,#REF!,#REF!,#REF!,#REF!,#REF!,#REF!,#REF!,#REF!,#REF!,#REF!</definedName>
    <definedName name="HEADWEEKA4" localSheetId="0">'Calendar 2025'!$C$21:$I$21,'Calendar 2025'!$C$29:$I$29,'Calendar 2025'!$C$37:$I$37,'Calendar 2025'!$C$61:$I$61,'Calendar 2025'!$C$53:$I$53,'Calendar 2025'!$C$45:$I$45,'Calendar 2025'!$C$85:$I$85,'Calendar 2025'!$C$77:$I$77,'Calendar 2025'!$C$69:$I$69,'Calendar 2025'!$C$109:$I$109,'Calendar 2025'!$C$101:$I$101,'Calendar 2025'!$C$93:$I$93</definedName>
    <definedName name="HEADWEEKA4" localSheetId="1">'Calendar 2026'!$C$21:$I$21,'Calendar 2026'!$C$29:$I$29,'Calendar 2026'!$C$37:$I$37,'Calendar 2026'!$C$61:$I$61,'Calendar 2026'!$C$53:$I$53,'Calendar 2026'!$C$45:$I$45,'Calendar 2026'!$C$85:$I$85,'Calendar 2026'!$C$77:$I$77,'Calendar 2026'!$C$69:$I$69,'Calendar 2026'!$C$109:$I$109,'Calendar 2026'!$C$101:$I$101,'Calendar 2026'!$C$93:$I$93</definedName>
    <definedName name="HEADWEEKA4">#REF!,#REF!,#REF!,#REF!,#REF!,#REF!,#REF!,#REF!,#REF!,#REF!,#REF!,#REF!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8" i="3" l="1"/>
  <c r="Z128" i="3"/>
  <c r="S30" i="2" l="1"/>
  <c r="C127" i="3" l="1"/>
  <c r="AU23" i="3"/>
  <c r="AV23" i="3"/>
  <c r="AU24" i="3"/>
  <c r="AV24" i="3"/>
  <c r="AU25" i="3"/>
  <c r="AV25" i="3"/>
  <c r="AU26" i="3"/>
  <c r="AV26" i="3"/>
  <c r="AU29" i="3"/>
  <c r="AU37" i="3" s="1"/>
  <c r="AU45" i="3" s="1"/>
  <c r="AU53" i="3" s="1"/>
  <c r="AU61" i="3" s="1"/>
  <c r="AU69" i="3" s="1"/>
  <c r="AU77" i="3" s="1"/>
  <c r="AU85" i="3" s="1"/>
  <c r="AU93" i="3" s="1"/>
  <c r="AU101" i="3" s="1"/>
  <c r="AU109" i="3" s="1"/>
  <c r="AU31" i="3"/>
  <c r="AV31" i="3"/>
  <c r="AU32" i="3"/>
  <c r="AV32" i="3"/>
  <c r="AU33" i="3"/>
  <c r="AV33" i="3"/>
  <c r="AU34" i="3"/>
  <c r="AV34" i="3"/>
  <c r="AU39" i="3"/>
  <c r="AV39" i="3"/>
  <c r="AU40" i="3"/>
  <c r="AV40" i="3"/>
  <c r="AU41" i="3"/>
  <c r="AV41" i="3"/>
  <c r="AU42" i="3"/>
  <c r="AV42" i="3"/>
  <c r="AU47" i="3"/>
  <c r="AV47" i="3"/>
  <c r="AU48" i="3"/>
  <c r="AV48" i="3"/>
  <c r="AU49" i="3"/>
  <c r="AV49" i="3"/>
  <c r="AU50" i="3"/>
  <c r="AV50" i="3"/>
  <c r="AU55" i="3"/>
  <c r="AV55" i="3"/>
  <c r="AU56" i="3"/>
  <c r="AV56" i="3"/>
  <c r="AU57" i="3"/>
  <c r="AV57" i="3"/>
  <c r="AU58" i="3"/>
  <c r="AV58" i="3"/>
  <c r="AU63" i="3"/>
  <c r="AV63" i="3"/>
  <c r="AU64" i="3"/>
  <c r="AV64" i="3"/>
  <c r="AU65" i="3"/>
  <c r="AV65" i="3"/>
  <c r="AU66" i="3"/>
  <c r="AV66" i="3"/>
  <c r="AU71" i="3"/>
  <c r="AV71" i="3"/>
  <c r="AU72" i="3"/>
  <c r="AV72" i="3"/>
  <c r="AU73" i="3"/>
  <c r="AV73" i="3"/>
  <c r="AU74" i="3"/>
  <c r="AV74" i="3"/>
  <c r="AU79" i="3"/>
  <c r="AV79" i="3"/>
  <c r="AU80" i="3"/>
  <c r="AV80" i="3"/>
  <c r="AU81" i="3"/>
  <c r="AV81" i="3"/>
  <c r="AU82" i="3"/>
  <c r="AV82" i="3"/>
  <c r="AU87" i="3"/>
  <c r="AV87" i="3"/>
  <c r="AU88" i="3"/>
  <c r="AV88" i="3"/>
  <c r="AU89" i="3"/>
  <c r="AV89" i="3"/>
  <c r="AU90" i="3"/>
  <c r="AV90" i="3"/>
  <c r="AU95" i="3"/>
  <c r="AV95" i="3"/>
  <c r="AU96" i="3"/>
  <c r="AV96" i="3"/>
  <c r="AU97" i="3"/>
  <c r="AV97" i="3"/>
  <c r="AU98" i="3"/>
  <c r="AV98" i="3"/>
  <c r="AU103" i="3"/>
  <c r="AV103" i="3"/>
  <c r="AU104" i="3"/>
  <c r="AV104" i="3"/>
  <c r="AU105" i="3"/>
  <c r="AV105" i="3"/>
  <c r="AU106" i="3"/>
  <c r="AV106" i="3"/>
  <c r="AU111" i="3"/>
  <c r="AV111" i="3"/>
  <c r="AU112" i="3"/>
  <c r="AV112" i="3"/>
  <c r="AU113" i="3"/>
  <c r="AV113" i="3"/>
  <c r="AU114" i="3"/>
  <c r="AV114" i="3"/>
  <c r="W128" i="3"/>
  <c r="W129" i="3"/>
  <c r="AW114" i="2" l="1"/>
  <c r="AV114" i="2"/>
  <c r="AU114" i="2"/>
  <c r="AT114" i="2"/>
  <c r="AS114" i="2"/>
  <c r="AW106" i="2"/>
  <c r="AV106" i="2"/>
  <c r="AU106" i="2"/>
  <c r="AT106" i="2"/>
  <c r="AS106" i="2"/>
  <c r="AW98" i="2"/>
  <c r="AV98" i="2"/>
  <c r="AU98" i="2"/>
  <c r="AT98" i="2"/>
  <c r="AS98" i="2"/>
  <c r="AW90" i="2"/>
  <c r="AV90" i="2"/>
  <c r="AU90" i="2"/>
  <c r="AT90" i="2"/>
  <c r="AS90" i="2"/>
  <c r="AW82" i="2"/>
  <c r="AV82" i="2"/>
  <c r="AU82" i="2"/>
  <c r="AT82" i="2"/>
  <c r="AS82" i="2"/>
  <c r="AW74" i="2"/>
  <c r="AV74" i="2"/>
  <c r="AU74" i="2"/>
  <c r="AT74" i="2"/>
  <c r="AS74" i="2"/>
  <c r="AW66" i="2"/>
  <c r="AV66" i="2"/>
  <c r="AU66" i="2"/>
  <c r="AT66" i="2"/>
  <c r="AS66" i="2"/>
  <c r="AW58" i="2"/>
  <c r="AV58" i="2"/>
  <c r="AU58" i="2"/>
  <c r="AT58" i="2"/>
  <c r="AS58" i="2"/>
  <c r="AW50" i="2"/>
  <c r="AV50" i="2"/>
  <c r="AU50" i="2"/>
  <c r="AT50" i="2"/>
  <c r="AS50" i="2"/>
  <c r="AW42" i="2"/>
  <c r="AV42" i="2"/>
  <c r="AU42" i="2"/>
  <c r="AT42" i="2"/>
  <c r="AS42" i="2"/>
  <c r="AW34" i="2"/>
  <c r="AV34" i="2"/>
  <c r="AU34" i="2"/>
  <c r="AT34" i="2"/>
  <c r="AS34" i="2"/>
  <c r="B129" i="3"/>
  <c r="B128" i="3"/>
  <c r="W127" i="3"/>
  <c r="B127" i="3"/>
  <c r="Z126" i="3"/>
  <c r="O126" i="3"/>
  <c r="Z125" i="3"/>
  <c r="O125" i="3"/>
  <c r="S121" i="3"/>
  <c r="K121" i="3"/>
  <c r="C121" i="3"/>
  <c r="S120" i="3"/>
  <c r="S119" i="3"/>
  <c r="K119" i="3"/>
  <c r="S118" i="3"/>
  <c r="K118" i="3"/>
  <c r="S117" i="3"/>
  <c r="K117" i="3"/>
  <c r="C117" i="3"/>
  <c r="AW114" i="3"/>
  <c r="AT114" i="3"/>
  <c r="AS114" i="3"/>
  <c r="AW113" i="3"/>
  <c r="AT113" i="3"/>
  <c r="AS113" i="3"/>
  <c r="B113" i="3"/>
  <c r="AW112" i="3"/>
  <c r="AT112" i="3"/>
  <c r="AS112" i="3"/>
  <c r="B112" i="3"/>
  <c r="AW111" i="3"/>
  <c r="AT111" i="3"/>
  <c r="AS111" i="3"/>
  <c r="B111" i="3"/>
  <c r="AW106" i="3"/>
  <c r="AT106" i="3"/>
  <c r="AS106" i="3"/>
  <c r="AW105" i="3"/>
  <c r="AT105" i="3"/>
  <c r="AS105" i="3"/>
  <c r="B105" i="3"/>
  <c r="AW104" i="3"/>
  <c r="AT104" i="3"/>
  <c r="AS104" i="3"/>
  <c r="B104" i="3"/>
  <c r="AW103" i="3"/>
  <c r="AT103" i="3"/>
  <c r="AS103" i="3"/>
  <c r="B103" i="3"/>
  <c r="AW98" i="3"/>
  <c r="AT98" i="3"/>
  <c r="AS98" i="3"/>
  <c r="AW97" i="3"/>
  <c r="AT97" i="3"/>
  <c r="AS97" i="3"/>
  <c r="B97" i="3"/>
  <c r="AW96" i="3"/>
  <c r="AT96" i="3"/>
  <c r="AS96" i="3"/>
  <c r="B96" i="3"/>
  <c r="AW95" i="3"/>
  <c r="AT95" i="3"/>
  <c r="AS95" i="3"/>
  <c r="B95" i="3"/>
  <c r="AW90" i="3"/>
  <c r="AT90" i="3"/>
  <c r="AS90" i="3"/>
  <c r="AW89" i="3"/>
  <c r="AT89" i="3"/>
  <c r="AS89" i="3"/>
  <c r="B89" i="3"/>
  <c r="AW88" i="3"/>
  <c r="AT88" i="3"/>
  <c r="AS88" i="3"/>
  <c r="B88" i="3"/>
  <c r="AW87" i="3"/>
  <c r="AT87" i="3"/>
  <c r="AS87" i="3"/>
  <c r="B87" i="3"/>
  <c r="AW82" i="3"/>
  <c r="AT82" i="3"/>
  <c r="AS82" i="3"/>
  <c r="AW81" i="3"/>
  <c r="AT81" i="3"/>
  <c r="AS81" i="3"/>
  <c r="B81" i="3"/>
  <c r="AW80" i="3"/>
  <c r="AT80" i="3"/>
  <c r="AS80" i="3"/>
  <c r="B80" i="3"/>
  <c r="AW79" i="3"/>
  <c r="AT79" i="3"/>
  <c r="AS79" i="3"/>
  <c r="B79" i="3"/>
  <c r="AW74" i="3"/>
  <c r="AT74" i="3"/>
  <c r="AS74" i="3"/>
  <c r="AW73" i="3"/>
  <c r="AT73" i="3"/>
  <c r="AS73" i="3"/>
  <c r="B73" i="3"/>
  <c r="AW72" i="3"/>
  <c r="AT72" i="3"/>
  <c r="AS72" i="3"/>
  <c r="B72" i="3"/>
  <c r="AW71" i="3"/>
  <c r="AT71" i="3"/>
  <c r="AS71" i="3"/>
  <c r="B71" i="3"/>
  <c r="AW66" i="3"/>
  <c r="AT66" i="3"/>
  <c r="AS66" i="3"/>
  <c r="AW65" i="3"/>
  <c r="AT65" i="3"/>
  <c r="AS65" i="3"/>
  <c r="B65" i="3"/>
  <c r="AW64" i="3"/>
  <c r="AT64" i="3"/>
  <c r="AS64" i="3"/>
  <c r="B64" i="3"/>
  <c r="AW63" i="3"/>
  <c r="AT63" i="3"/>
  <c r="AS63" i="3"/>
  <c r="B63" i="3"/>
  <c r="AW58" i="3"/>
  <c r="AT58" i="3"/>
  <c r="AS58" i="3"/>
  <c r="AW57" i="3"/>
  <c r="AT57" i="3"/>
  <c r="AS57" i="3"/>
  <c r="B57" i="3"/>
  <c r="AW56" i="3"/>
  <c r="AT56" i="3"/>
  <c r="AS56" i="3"/>
  <c r="B56" i="3"/>
  <c r="AW55" i="3"/>
  <c r="AT55" i="3"/>
  <c r="AS55" i="3"/>
  <c r="B55" i="3"/>
  <c r="AW50" i="3"/>
  <c r="AT50" i="3"/>
  <c r="AS50" i="3"/>
  <c r="AW49" i="3"/>
  <c r="AT49" i="3"/>
  <c r="AS49" i="3"/>
  <c r="B49" i="3"/>
  <c r="AW48" i="3"/>
  <c r="AT48" i="3"/>
  <c r="AS48" i="3"/>
  <c r="B48" i="3"/>
  <c r="AW47" i="3"/>
  <c r="AT47" i="3"/>
  <c r="AS47" i="3"/>
  <c r="B47" i="3"/>
  <c r="AW42" i="3"/>
  <c r="AT42" i="3"/>
  <c r="AS42" i="3"/>
  <c r="AW41" i="3"/>
  <c r="AT41" i="3"/>
  <c r="AS41" i="3"/>
  <c r="B41" i="3"/>
  <c r="AW40" i="3"/>
  <c r="AT40" i="3"/>
  <c r="AS40" i="3"/>
  <c r="B40" i="3"/>
  <c r="AW39" i="3"/>
  <c r="AT39" i="3"/>
  <c r="AS39" i="3"/>
  <c r="B39" i="3"/>
  <c r="AW34" i="3"/>
  <c r="AT34" i="3"/>
  <c r="AS34" i="3"/>
  <c r="AW33" i="3"/>
  <c r="AT33" i="3"/>
  <c r="AS33" i="3"/>
  <c r="B33" i="3"/>
  <c r="AW32" i="3"/>
  <c r="AT32" i="3"/>
  <c r="AS32" i="3"/>
  <c r="B32" i="3"/>
  <c r="AW31" i="3"/>
  <c r="AT31" i="3"/>
  <c r="AS31" i="3"/>
  <c r="B31" i="3"/>
  <c r="AT29" i="3"/>
  <c r="AT37" i="3" s="1"/>
  <c r="AT45" i="3" s="1"/>
  <c r="AT53" i="3" s="1"/>
  <c r="AT61" i="3" s="1"/>
  <c r="AT69" i="3" s="1"/>
  <c r="AT77" i="3" s="1"/>
  <c r="AT85" i="3" s="1"/>
  <c r="AT93" i="3" s="1"/>
  <c r="AT101" i="3" s="1"/>
  <c r="AT109" i="3" s="1"/>
  <c r="AS29" i="3"/>
  <c r="AS37" i="3" s="1"/>
  <c r="AS45" i="3" s="1"/>
  <c r="AS53" i="3" s="1"/>
  <c r="AS61" i="3" s="1"/>
  <c r="AS69" i="3" s="1"/>
  <c r="AS77" i="3" s="1"/>
  <c r="AS85" i="3" s="1"/>
  <c r="AS93" i="3" s="1"/>
  <c r="AS101" i="3" s="1"/>
  <c r="AS109" i="3" s="1"/>
  <c r="AW26" i="3"/>
  <c r="AT26" i="3"/>
  <c r="AS26" i="3"/>
  <c r="AW25" i="3"/>
  <c r="AT25" i="3"/>
  <c r="AS25" i="3"/>
  <c r="AW24" i="3"/>
  <c r="AT24" i="3"/>
  <c r="AS24" i="3"/>
  <c r="AW23" i="3"/>
  <c r="AT23" i="3"/>
  <c r="AS23" i="3"/>
  <c r="P18" i="3"/>
  <c r="H8" i="3"/>
  <c r="E8" i="3"/>
  <c r="D8" i="3"/>
  <c r="C8" i="3"/>
  <c r="F8" i="3" s="1"/>
  <c r="C2" i="3"/>
  <c r="H3" i="3" s="1"/>
  <c r="C129" i="3" l="1"/>
  <c r="Z129" i="3" s="1"/>
  <c r="AH129" i="3" s="1"/>
  <c r="Z127" i="3"/>
  <c r="AH128" i="3"/>
  <c r="G8" i="3"/>
  <c r="I8" i="3" s="1"/>
  <c r="J8" i="3" s="1"/>
  <c r="D9" i="3" s="1"/>
  <c r="L2" i="3"/>
  <c r="M2" i="3"/>
  <c r="P3" i="3" s="1"/>
  <c r="E3" i="3"/>
  <c r="D3" i="3"/>
  <c r="F3" i="3"/>
  <c r="F22" i="3" s="1"/>
  <c r="G3" i="3"/>
  <c r="C3" i="3"/>
  <c r="C22" i="3" s="1"/>
  <c r="I3" i="3"/>
  <c r="D11" i="3" l="1"/>
  <c r="C120" i="3"/>
  <c r="D12" i="3"/>
  <c r="C119" i="3" s="1"/>
  <c r="D13" i="3"/>
  <c r="K120" i="3" s="1"/>
  <c r="D10" i="3"/>
  <c r="C118" i="3" s="1"/>
  <c r="D22" i="3"/>
  <c r="E22" i="3" s="1"/>
  <c r="Q3" i="3"/>
  <c r="L3" i="3"/>
  <c r="C30" i="3" s="1"/>
  <c r="U2" i="3"/>
  <c r="X3" i="3" s="1"/>
  <c r="N3" i="3"/>
  <c r="R3" i="3"/>
  <c r="I30" i="3" s="1"/>
  <c r="J30" i="3" s="1"/>
  <c r="K30" i="3" s="1"/>
  <c r="L30" i="3" s="1"/>
  <c r="M30" i="3" s="1"/>
  <c r="N30" i="3" s="1"/>
  <c r="O30" i="3" s="1"/>
  <c r="P30" i="3" s="1"/>
  <c r="Q30" i="3" s="1"/>
  <c r="R30" i="3" s="1"/>
  <c r="S30" i="3" s="1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AG30" i="3" s="1"/>
  <c r="AH30" i="3" s="1"/>
  <c r="AI30" i="3" s="1"/>
  <c r="AJ30" i="3" s="1"/>
  <c r="AK30" i="3" s="1"/>
  <c r="AL30" i="3" s="1"/>
  <c r="AM30" i="3" s="1"/>
  <c r="AN30" i="3" s="1"/>
  <c r="AO30" i="3" s="1"/>
  <c r="AP30" i="3" s="1"/>
  <c r="AQ30" i="3" s="1"/>
  <c r="AR30" i="3" s="1"/>
  <c r="O3" i="3"/>
  <c r="M3" i="3"/>
  <c r="G22" i="3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H127" i="3"/>
  <c r="D30" i="3" l="1"/>
  <c r="E30" i="3" s="1"/>
  <c r="F30" i="3" s="1"/>
  <c r="G30" i="3" s="1"/>
  <c r="H30" i="3" s="1"/>
  <c r="Z3" i="3"/>
  <c r="AA3" i="3"/>
  <c r="I38" i="3" s="1"/>
  <c r="J38" i="3" s="1"/>
  <c r="K38" i="3" s="1"/>
  <c r="L38" i="3" s="1"/>
  <c r="M38" i="3" s="1"/>
  <c r="N38" i="3" s="1"/>
  <c r="O38" i="3" s="1"/>
  <c r="P38" i="3" s="1"/>
  <c r="Q38" i="3" s="1"/>
  <c r="R38" i="3" s="1"/>
  <c r="S38" i="3" s="1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AD38" i="3" s="1"/>
  <c r="AE38" i="3" s="1"/>
  <c r="AF38" i="3" s="1"/>
  <c r="AG38" i="3" s="1"/>
  <c r="AH38" i="3" s="1"/>
  <c r="AI38" i="3" s="1"/>
  <c r="AJ38" i="3" s="1"/>
  <c r="AK38" i="3" s="1"/>
  <c r="AL38" i="3" s="1"/>
  <c r="AM38" i="3" s="1"/>
  <c r="AN38" i="3" s="1"/>
  <c r="AO38" i="3" s="1"/>
  <c r="AP38" i="3" s="1"/>
  <c r="AQ38" i="3" s="1"/>
  <c r="AR38" i="3" s="1"/>
  <c r="V3" i="3"/>
  <c r="U3" i="3"/>
  <c r="C38" i="3" s="1"/>
  <c r="D38" i="3" s="1"/>
  <c r="D2" i="3"/>
  <c r="C4" i="3" s="1"/>
  <c r="C46" i="3" s="1"/>
  <c r="W3" i="3"/>
  <c r="Y3" i="3"/>
  <c r="N2" i="3"/>
  <c r="E4" i="3"/>
  <c r="E46" i="3" s="1"/>
  <c r="G4" i="3"/>
  <c r="I4" i="3" l="1"/>
  <c r="E38" i="3"/>
  <c r="F38" i="3" s="1"/>
  <c r="G38" i="3" s="1"/>
  <c r="H38" i="3" s="1"/>
  <c r="D4" i="3"/>
  <c r="D46" i="3" s="1"/>
  <c r="F4" i="3"/>
  <c r="F46" i="3" s="1"/>
  <c r="G46" i="3" s="1"/>
  <c r="H4" i="3"/>
  <c r="M4" i="3"/>
  <c r="P4" i="3"/>
  <c r="G54" i="3" s="1"/>
  <c r="O4" i="3"/>
  <c r="N4" i="3"/>
  <c r="L4" i="3"/>
  <c r="C54" i="3" s="1"/>
  <c r="V2" i="3"/>
  <c r="R4" i="3"/>
  <c r="Q4" i="3"/>
  <c r="H46" i="3" l="1"/>
  <c r="I46" i="3" s="1"/>
  <c r="J46" i="3" s="1"/>
  <c r="K46" i="3" s="1"/>
  <c r="L46" i="3" s="1"/>
  <c r="M46" i="3" s="1"/>
  <c r="N46" i="3" s="1"/>
  <c r="O46" i="3" s="1"/>
  <c r="P46" i="3" s="1"/>
  <c r="Q46" i="3" s="1"/>
  <c r="R46" i="3" s="1"/>
  <c r="S46" i="3" s="1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AD46" i="3" s="1"/>
  <c r="AE46" i="3" s="1"/>
  <c r="AF46" i="3" s="1"/>
  <c r="AG46" i="3" s="1"/>
  <c r="AH46" i="3" s="1"/>
  <c r="AI46" i="3" s="1"/>
  <c r="AJ46" i="3" s="1"/>
  <c r="AK46" i="3" s="1"/>
  <c r="AL46" i="3" s="1"/>
  <c r="AM46" i="3" s="1"/>
  <c r="AN46" i="3" s="1"/>
  <c r="AO46" i="3" s="1"/>
  <c r="AP46" i="3" s="1"/>
  <c r="AQ46" i="3" s="1"/>
  <c r="AR46" i="3" s="1"/>
  <c r="H54" i="3"/>
  <c r="I54" i="3" s="1"/>
  <c r="J54" i="3" s="1"/>
  <c r="K54" i="3" s="1"/>
  <c r="L54" i="3" s="1"/>
  <c r="M54" i="3" s="1"/>
  <c r="N54" i="3" s="1"/>
  <c r="O54" i="3" s="1"/>
  <c r="P54" i="3" s="1"/>
  <c r="Q54" i="3" s="1"/>
  <c r="R54" i="3" s="1"/>
  <c r="S54" i="3" s="1"/>
  <c r="T54" i="3" s="1"/>
  <c r="U54" i="3" s="1"/>
  <c r="V54" i="3" s="1"/>
  <c r="W54" i="3" s="1"/>
  <c r="X54" i="3" s="1"/>
  <c r="Y54" i="3" s="1"/>
  <c r="Z54" i="3" s="1"/>
  <c r="AA54" i="3" s="1"/>
  <c r="AB54" i="3" s="1"/>
  <c r="AC54" i="3" s="1"/>
  <c r="AD54" i="3" s="1"/>
  <c r="AE54" i="3" s="1"/>
  <c r="AF54" i="3" s="1"/>
  <c r="AG54" i="3" s="1"/>
  <c r="AH54" i="3" s="1"/>
  <c r="AI54" i="3" s="1"/>
  <c r="AJ54" i="3" s="1"/>
  <c r="AK54" i="3" s="1"/>
  <c r="AL54" i="3" s="1"/>
  <c r="AM54" i="3" s="1"/>
  <c r="AN54" i="3" s="1"/>
  <c r="AO54" i="3" s="1"/>
  <c r="AP54" i="3" s="1"/>
  <c r="AQ54" i="3" s="1"/>
  <c r="AR54" i="3" s="1"/>
  <c r="AA4" i="3"/>
  <c r="U4" i="3"/>
  <c r="C62" i="3" s="1"/>
  <c r="E2" i="3"/>
  <c r="Y4" i="3"/>
  <c r="Z4" i="3"/>
  <c r="X4" i="3"/>
  <c r="W4" i="3"/>
  <c r="V4" i="3"/>
  <c r="D62" i="3" s="1"/>
  <c r="D54" i="3"/>
  <c r="E54" i="3" s="1"/>
  <c r="F54" i="3" s="1"/>
  <c r="E62" i="3" l="1"/>
  <c r="F62" i="3" s="1"/>
  <c r="G62" i="3" s="1"/>
  <c r="H62" i="3" s="1"/>
  <c r="I62" i="3" s="1"/>
  <c r="J62" i="3" s="1"/>
  <c r="K62" i="3" s="1"/>
  <c r="L62" i="3" s="1"/>
  <c r="M62" i="3" s="1"/>
  <c r="N62" i="3" s="1"/>
  <c r="O62" i="3" s="1"/>
  <c r="P62" i="3" s="1"/>
  <c r="Q62" i="3" s="1"/>
  <c r="R62" i="3" s="1"/>
  <c r="S62" i="3" s="1"/>
  <c r="T62" i="3" s="1"/>
  <c r="U62" i="3" s="1"/>
  <c r="V62" i="3" s="1"/>
  <c r="W62" i="3" s="1"/>
  <c r="X62" i="3" s="1"/>
  <c r="Y62" i="3" s="1"/>
  <c r="Z62" i="3" s="1"/>
  <c r="AA62" i="3" s="1"/>
  <c r="AB62" i="3" s="1"/>
  <c r="AC62" i="3" s="1"/>
  <c r="AD62" i="3" s="1"/>
  <c r="AE62" i="3" s="1"/>
  <c r="AF62" i="3" s="1"/>
  <c r="AG62" i="3" s="1"/>
  <c r="AH62" i="3" s="1"/>
  <c r="AI62" i="3" s="1"/>
  <c r="AJ62" i="3" s="1"/>
  <c r="AK62" i="3" s="1"/>
  <c r="AL62" i="3" s="1"/>
  <c r="AM62" i="3" s="1"/>
  <c r="AN62" i="3" s="1"/>
  <c r="AO62" i="3" s="1"/>
  <c r="AP62" i="3" s="1"/>
  <c r="AQ62" i="3" s="1"/>
  <c r="AR62" i="3" s="1"/>
  <c r="H5" i="3"/>
  <c r="G5" i="3"/>
  <c r="F5" i="3"/>
  <c r="E5" i="3"/>
  <c r="E70" i="3" s="1"/>
  <c r="D5" i="3"/>
  <c r="I5" i="3"/>
  <c r="C5" i="3"/>
  <c r="C70" i="3" s="1"/>
  <c r="O2" i="3"/>
  <c r="F70" i="3" l="1"/>
  <c r="D70" i="3"/>
  <c r="G70" i="3"/>
  <c r="H70" i="3" s="1"/>
  <c r="I70" i="3" s="1"/>
  <c r="J70" i="3" s="1"/>
  <c r="K70" i="3" s="1"/>
  <c r="L70" i="3" s="1"/>
  <c r="M70" i="3" s="1"/>
  <c r="N70" i="3" s="1"/>
  <c r="O70" i="3" s="1"/>
  <c r="P70" i="3" s="1"/>
  <c r="Q70" i="3" s="1"/>
  <c r="R70" i="3" s="1"/>
  <c r="S70" i="3" s="1"/>
  <c r="T70" i="3" s="1"/>
  <c r="U70" i="3" s="1"/>
  <c r="V70" i="3" s="1"/>
  <c r="W70" i="3" s="1"/>
  <c r="X70" i="3" s="1"/>
  <c r="Y70" i="3" s="1"/>
  <c r="Z70" i="3" s="1"/>
  <c r="AA70" i="3" s="1"/>
  <c r="AB70" i="3" s="1"/>
  <c r="AC70" i="3" s="1"/>
  <c r="AD70" i="3" s="1"/>
  <c r="AE70" i="3" s="1"/>
  <c r="AF70" i="3" s="1"/>
  <c r="AG70" i="3" s="1"/>
  <c r="AH70" i="3" s="1"/>
  <c r="AI70" i="3" s="1"/>
  <c r="AJ70" i="3" s="1"/>
  <c r="AK70" i="3" s="1"/>
  <c r="AL70" i="3" s="1"/>
  <c r="AM70" i="3" s="1"/>
  <c r="AN70" i="3" s="1"/>
  <c r="AO70" i="3" s="1"/>
  <c r="AP70" i="3" s="1"/>
  <c r="AQ70" i="3" s="1"/>
  <c r="AR70" i="3" s="1"/>
  <c r="P5" i="3"/>
  <c r="W2" i="3"/>
  <c r="Q5" i="3"/>
  <c r="H78" i="3" s="1"/>
  <c r="M5" i="3"/>
  <c r="L5" i="3"/>
  <c r="C78" i="3" s="1"/>
  <c r="R5" i="3"/>
  <c r="I78" i="3" s="1"/>
  <c r="J78" i="3" s="1"/>
  <c r="K78" i="3" s="1"/>
  <c r="L78" i="3" s="1"/>
  <c r="M78" i="3" s="1"/>
  <c r="N78" i="3" s="1"/>
  <c r="O78" i="3" s="1"/>
  <c r="P78" i="3" s="1"/>
  <c r="Q78" i="3" s="1"/>
  <c r="R78" i="3" s="1"/>
  <c r="S78" i="3" s="1"/>
  <c r="T78" i="3" s="1"/>
  <c r="U78" i="3" s="1"/>
  <c r="V78" i="3" s="1"/>
  <c r="W78" i="3" s="1"/>
  <c r="X78" i="3" s="1"/>
  <c r="Y78" i="3" s="1"/>
  <c r="Z78" i="3" s="1"/>
  <c r="AA78" i="3" s="1"/>
  <c r="AB78" i="3" s="1"/>
  <c r="AC78" i="3" s="1"/>
  <c r="AD78" i="3" s="1"/>
  <c r="AE78" i="3" s="1"/>
  <c r="AF78" i="3" s="1"/>
  <c r="AG78" i="3" s="1"/>
  <c r="AH78" i="3" s="1"/>
  <c r="AI78" i="3" s="1"/>
  <c r="AJ78" i="3" s="1"/>
  <c r="AK78" i="3" s="1"/>
  <c r="AL78" i="3" s="1"/>
  <c r="AM78" i="3" s="1"/>
  <c r="AN78" i="3" s="1"/>
  <c r="AO78" i="3" s="1"/>
  <c r="AP78" i="3" s="1"/>
  <c r="AQ78" i="3" s="1"/>
  <c r="AR78" i="3" s="1"/>
  <c r="O5" i="3"/>
  <c r="N5" i="3"/>
  <c r="X5" i="3" l="1"/>
  <c r="Z5" i="3"/>
  <c r="Y5" i="3"/>
  <c r="W5" i="3"/>
  <c r="U5" i="3"/>
  <c r="C86" i="3" s="1"/>
  <c r="V5" i="3"/>
  <c r="D86" i="3" s="1"/>
  <c r="AA5" i="3"/>
  <c r="F2" i="3"/>
  <c r="D78" i="3"/>
  <c r="E78" i="3" s="1"/>
  <c r="F78" i="3" s="1"/>
  <c r="G78" i="3" s="1"/>
  <c r="E6" i="3" l="1"/>
  <c r="I6" i="3"/>
  <c r="H6" i="3"/>
  <c r="G6" i="3"/>
  <c r="P2" i="3"/>
  <c r="F6" i="3"/>
  <c r="F94" i="3" s="1"/>
  <c r="D6" i="3"/>
  <c r="C6" i="3"/>
  <c r="C94" i="3" s="1"/>
  <c r="E86" i="3"/>
  <c r="F86" i="3" s="1"/>
  <c r="G86" i="3" s="1"/>
  <c r="H86" i="3" s="1"/>
  <c r="I86" i="3" s="1"/>
  <c r="J86" i="3" s="1"/>
  <c r="K86" i="3" s="1"/>
  <c r="L86" i="3" s="1"/>
  <c r="M86" i="3" s="1"/>
  <c r="N86" i="3" s="1"/>
  <c r="O86" i="3" s="1"/>
  <c r="P86" i="3" s="1"/>
  <c r="Q86" i="3" s="1"/>
  <c r="R86" i="3" s="1"/>
  <c r="S86" i="3" s="1"/>
  <c r="T86" i="3" s="1"/>
  <c r="U86" i="3" s="1"/>
  <c r="V86" i="3" s="1"/>
  <c r="W86" i="3" s="1"/>
  <c r="X86" i="3" s="1"/>
  <c r="Y86" i="3" s="1"/>
  <c r="Z86" i="3" s="1"/>
  <c r="AA86" i="3" s="1"/>
  <c r="AB86" i="3" s="1"/>
  <c r="AC86" i="3" s="1"/>
  <c r="AD86" i="3" s="1"/>
  <c r="AE86" i="3" s="1"/>
  <c r="AF86" i="3" s="1"/>
  <c r="AG86" i="3" s="1"/>
  <c r="AH86" i="3" s="1"/>
  <c r="AI86" i="3" s="1"/>
  <c r="AJ86" i="3" s="1"/>
  <c r="AK86" i="3" s="1"/>
  <c r="AL86" i="3" s="1"/>
  <c r="AM86" i="3" s="1"/>
  <c r="AN86" i="3" s="1"/>
  <c r="AO86" i="3" s="1"/>
  <c r="AP86" i="3" s="1"/>
  <c r="AQ86" i="3" s="1"/>
  <c r="AR86" i="3" s="1"/>
  <c r="D94" i="3" l="1"/>
  <c r="E94" i="3" s="1"/>
  <c r="M6" i="3"/>
  <c r="X2" i="3"/>
  <c r="Q6" i="3"/>
  <c r="P6" i="3"/>
  <c r="O6" i="3"/>
  <c r="N6" i="3"/>
  <c r="L6" i="3"/>
  <c r="C102" i="3" s="1"/>
  <c r="R6" i="3"/>
  <c r="I102" i="3" s="1"/>
  <c r="J102" i="3" s="1"/>
  <c r="K102" i="3" s="1"/>
  <c r="L102" i="3" s="1"/>
  <c r="M102" i="3" s="1"/>
  <c r="N102" i="3" s="1"/>
  <c r="O102" i="3" s="1"/>
  <c r="P102" i="3" s="1"/>
  <c r="Q102" i="3" s="1"/>
  <c r="R102" i="3" s="1"/>
  <c r="S102" i="3" s="1"/>
  <c r="T102" i="3" s="1"/>
  <c r="U102" i="3" s="1"/>
  <c r="V102" i="3" s="1"/>
  <c r="W102" i="3" s="1"/>
  <c r="X102" i="3" s="1"/>
  <c r="Y102" i="3" s="1"/>
  <c r="Z102" i="3" s="1"/>
  <c r="AA102" i="3" s="1"/>
  <c r="AB102" i="3" s="1"/>
  <c r="AC102" i="3" s="1"/>
  <c r="AD102" i="3" s="1"/>
  <c r="AE102" i="3" s="1"/>
  <c r="AF102" i="3" s="1"/>
  <c r="AG102" i="3" s="1"/>
  <c r="AH102" i="3" s="1"/>
  <c r="AI102" i="3" s="1"/>
  <c r="AJ102" i="3" s="1"/>
  <c r="AK102" i="3" s="1"/>
  <c r="AL102" i="3" s="1"/>
  <c r="AM102" i="3" s="1"/>
  <c r="AN102" i="3" s="1"/>
  <c r="AO102" i="3" s="1"/>
  <c r="AP102" i="3" s="1"/>
  <c r="AQ102" i="3" s="1"/>
  <c r="AR102" i="3" s="1"/>
  <c r="G94" i="3"/>
  <c r="H94" i="3" s="1"/>
  <c r="I94" i="3" s="1"/>
  <c r="J94" i="3" s="1"/>
  <c r="K94" i="3" s="1"/>
  <c r="L94" i="3" s="1"/>
  <c r="M94" i="3" s="1"/>
  <c r="N94" i="3" s="1"/>
  <c r="O94" i="3" s="1"/>
  <c r="P94" i="3" s="1"/>
  <c r="Q94" i="3" s="1"/>
  <c r="R94" i="3" s="1"/>
  <c r="S94" i="3" s="1"/>
  <c r="T94" i="3" s="1"/>
  <c r="U94" i="3" s="1"/>
  <c r="V94" i="3" s="1"/>
  <c r="W94" i="3" s="1"/>
  <c r="X94" i="3" s="1"/>
  <c r="Y94" i="3" s="1"/>
  <c r="Z94" i="3" s="1"/>
  <c r="AA94" i="3" s="1"/>
  <c r="AB94" i="3" s="1"/>
  <c r="AC94" i="3" s="1"/>
  <c r="AD94" i="3" s="1"/>
  <c r="AE94" i="3" s="1"/>
  <c r="AF94" i="3" s="1"/>
  <c r="AG94" i="3" s="1"/>
  <c r="AH94" i="3" s="1"/>
  <c r="AI94" i="3" s="1"/>
  <c r="AJ94" i="3" s="1"/>
  <c r="AK94" i="3" s="1"/>
  <c r="AL94" i="3" s="1"/>
  <c r="AM94" i="3" s="1"/>
  <c r="AN94" i="3" s="1"/>
  <c r="AO94" i="3" s="1"/>
  <c r="AP94" i="3" s="1"/>
  <c r="AQ94" i="3" s="1"/>
  <c r="AR94" i="3" s="1"/>
  <c r="D102" i="3" l="1"/>
  <c r="E102" i="3" s="1"/>
  <c r="F102" i="3" s="1"/>
  <c r="G102" i="3" s="1"/>
  <c r="H102" i="3" s="1"/>
  <c r="U6" i="3"/>
  <c r="C110" i="3" s="1"/>
  <c r="AA6" i="3"/>
  <c r="W6" i="3"/>
  <c r="V6" i="3"/>
  <c r="D110" i="3" s="1"/>
  <c r="Z6" i="3"/>
  <c r="Y6" i="3"/>
  <c r="X6" i="3"/>
  <c r="E110" i="3" l="1"/>
  <c r="F110" i="3" s="1"/>
  <c r="G110" i="3" s="1"/>
  <c r="H110" i="3" s="1"/>
  <c r="I110" i="3" s="1"/>
  <c r="J110" i="3" s="1"/>
  <c r="K110" i="3" s="1"/>
  <c r="L110" i="3" s="1"/>
  <c r="M110" i="3" s="1"/>
  <c r="N110" i="3" s="1"/>
  <c r="O110" i="3" s="1"/>
  <c r="P110" i="3" s="1"/>
  <c r="Q110" i="3" s="1"/>
  <c r="R110" i="3" s="1"/>
  <c r="S110" i="3" s="1"/>
  <c r="T110" i="3" s="1"/>
  <c r="U110" i="3" s="1"/>
  <c r="V110" i="3" s="1"/>
  <c r="W110" i="3" s="1"/>
  <c r="X110" i="3" s="1"/>
  <c r="Y110" i="3" s="1"/>
  <c r="Z110" i="3" s="1"/>
  <c r="AA110" i="3" s="1"/>
  <c r="AB110" i="3" s="1"/>
  <c r="AC110" i="3" s="1"/>
  <c r="AD110" i="3" s="1"/>
  <c r="AE110" i="3" s="1"/>
  <c r="AF110" i="3" s="1"/>
  <c r="AG110" i="3" s="1"/>
  <c r="AH110" i="3" s="1"/>
  <c r="AI110" i="3" s="1"/>
  <c r="AJ110" i="3" s="1"/>
  <c r="AK110" i="3" s="1"/>
  <c r="AL110" i="3" s="1"/>
  <c r="AM110" i="3" s="1"/>
  <c r="AN110" i="3" s="1"/>
  <c r="AO110" i="3" s="1"/>
  <c r="AP110" i="3" s="1"/>
  <c r="AQ110" i="3" s="1"/>
  <c r="AR110" i="3" s="1"/>
  <c r="W129" i="2" l="1"/>
  <c r="B129" i="2"/>
  <c r="W128" i="2"/>
  <c r="B128" i="2"/>
  <c r="W127" i="2"/>
  <c r="B127" i="2"/>
  <c r="AB126" i="2"/>
  <c r="Z126" i="2"/>
  <c r="Q126" i="2"/>
  <c r="O126" i="2"/>
  <c r="AB125" i="2"/>
  <c r="Z125" i="2"/>
  <c r="Q125" i="2"/>
  <c r="O125" i="2"/>
  <c r="S121" i="2"/>
  <c r="K121" i="2"/>
  <c r="C121" i="2"/>
  <c r="S120" i="2"/>
  <c r="S119" i="2"/>
  <c r="K119" i="2"/>
  <c r="S118" i="2"/>
  <c r="K118" i="2"/>
  <c r="S117" i="2"/>
  <c r="K117" i="2"/>
  <c r="C117" i="2"/>
  <c r="AW113" i="2"/>
  <c r="AV113" i="2"/>
  <c r="AU113" i="2"/>
  <c r="AT113" i="2"/>
  <c r="AS113" i="2"/>
  <c r="B113" i="2"/>
  <c r="AW112" i="2"/>
  <c r="AV112" i="2"/>
  <c r="AU112" i="2"/>
  <c r="AT112" i="2"/>
  <c r="AS112" i="2"/>
  <c r="B112" i="2"/>
  <c r="AW111" i="2"/>
  <c r="AV111" i="2"/>
  <c r="AU111" i="2"/>
  <c r="AT111" i="2"/>
  <c r="AS111" i="2"/>
  <c r="B111" i="2"/>
  <c r="AW105" i="2"/>
  <c r="AV105" i="2"/>
  <c r="AU105" i="2"/>
  <c r="AT105" i="2"/>
  <c r="AS105" i="2"/>
  <c r="B105" i="2"/>
  <c r="AW104" i="2"/>
  <c r="AV104" i="2"/>
  <c r="AU104" i="2"/>
  <c r="AT104" i="2"/>
  <c r="AS104" i="2"/>
  <c r="B104" i="2"/>
  <c r="AW103" i="2"/>
  <c r="AV103" i="2"/>
  <c r="AU103" i="2"/>
  <c r="AT103" i="2"/>
  <c r="AS103" i="2"/>
  <c r="B103" i="2"/>
  <c r="AW97" i="2"/>
  <c r="AV97" i="2"/>
  <c r="AU97" i="2"/>
  <c r="AT97" i="2"/>
  <c r="AS97" i="2"/>
  <c r="B97" i="2"/>
  <c r="AW96" i="2"/>
  <c r="AV96" i="2"/>
  <c r="AU96" i="2"/>
  <c r="AT96" i="2"/>
  <c r="AS96" i="2"/>
  <c r="B96" i="2"/>
  <c r="AW95" i="2"/>
  <c r="AV95" i="2"/>
  <c r="AU95" i="2"/>
  <c r="AT95" i="2"/>
  <c r="AS95" i="2"/>
  <c r="B95" i="2"/>
  <c r="AW89" i="2"/>
  <c r="AV89" i="2"/>
  <c r="AU89" i="2"/>
  <c r="AT89" i="2"/>
  <c r="AS89" i="2"/>
  <c r="B89" i="2"/>
  <c r="AW88" i="2"/>
  <c r="AV88" i="2"/>
  <c r="AU88" i="2"/>
  <c r="AT88" i="2"/>
  <c r="AS88" i="2"/>
  <c r="B88" i="2"/>
  <c r="AW87" i="2"/>
  <c r="AV87" i="2"/>
  <c r="AU87" i="2"/>
  <c r="AT87" i="2"/>
  <c r="AS87" i="2"/>
  <c r="B87" i="2"/>
  <c r="AW81" i="2"/>
  <c r="AV81" i="2"/>
  <c r="AU81" i="2"/>
  <c r="AT81" i="2"/>
  <c r="AS81" i="2"/>
  <c r="B81" i="2"/>
  <c r="AW80" i="2"/>
  <c r="AV80" i="2"/>
  <c r="AU80" i="2"/>
  <c r="AT80" i="2"/>
  <c r="AS80" i="2"/>
  <c r="B80" i="2"/>
  <c r="AW79" i="2"/>
  <c r="AV79" i="2"/>
  <c r="AU79" i="2"/>
  <c r="AT79" i="2"/>
  <c r="AS79" i="2"/>
  <c r="B79" i="2"/>
  <c r="AW73" i="2"/>
  <c r="AV73" i="2"/>
  <c r="AU73" i="2"/>
  <c r="AT73" i="2"/>
  <c r="AS73" i="2"/>
  <c r="B73" i="2"/>
  <c r="AW72" i="2"/>
  <c r="AV72" i="2"/>
  <c r="AU72" i="2"/>
  <c r="AT72" i="2"/>
  <c r="AS72" i="2"/>
  <c r="B72" i="2"/>
  <c r="AW71" i="2"/>
  <c r="AV71" i="2"/>
  <c r="AU71" i="2"/>
  <c r="AT71" i="2"/>
  <c r="AS71" i="2"/>
  <c r="B71" i="2"/>
  <c r="AW65" i="2"/>
  <c r="AV65" i="2"/>
  <c r="AU65" i="2"/>
  <c r="AT65" i="2"/>
  <c r="AS65" i="2"/>
  <c r="B65" i="2"/>
  <c r="AW64" i="2"/>
  <c r="AV64" i="2"/>
  <c r="AU64" i="2"/>
  <c r="AT64" i="2"/>
  <c r="AS64" i="2"/>
  <c r="B64" i="2"/>
  <c r="AW63" i="2"/>
  <c r="AV63" i="2"/>
  <c r="AU63" i="2"/>
  <c r="AT63" i="2"/>
  <c r="AS63" i="2"/>
  <c r="B63" i="2"/>
  <c r="AW57" i="2"/>
  <c r="AV57" i="2"/>
  <c r="AU57" i="2"/>
  <c r="AT57" i="2"/>
  <c r="AS57" i="2"/>
  <c r="B57" i="2"/>
  <c r="AW56" i="2"/>
  <c r="AV56" i="2"/>
  <c r="AU56" i="2"/>
  <c r="AT56" i="2"/>
  <c r="AS56" i="2"/>
  <c r="B56" i="2"/>
  <c r="AW55" i="2"/>
  <c r="AV55" i="2"/>
  <c r="AU55" i="2"/>
  <c r="AT55" i="2"/>
  <c r="AS55" i="2"/>
  <c r="B55" i="2"/>
  <c r="AW49" i="2"/>
  <c r="AV49" i="2"/>
  <c r="AU49" i="2"/>
  <c r="AT49" i="2"/>
  <c r="AS49" i="2"/>
  <c r="B49" i="2"/>
  <c r="AW48" i="2"/>
  <c r="AV48" i="2"/>
  <c r="AU48" i="2"/>
  <c r="AT48" i="2"/>
  <c r="AS48" i="2"/>
  <c r="B48" i="2"/>
  <c r="AW47" i="2"/>
  <c r="AV47" i="2"/>
  <c r="AU47" i="2"/>
  <c r="AT47" i="2"/>
  <c r="AS47" i="2"/>
  <c r="B47" i="2"/>
  <c r="AW41" i="2"/>
  <c r="AV41" i="2"/>
  <c r="AU41" i="2"/>
  <c r="AT41" i="2"/>
  <c r="AS41" i="2"/>
  <c r="B41" i="2"/>
  <c r="AW40" i="2"/>
  <c r="AV40" i="2"/>
  <c r="AU40" i="2"/>
  <c r="AT40" i="2"/>
  <c r="AS40" i="2"/>
  <c r="B40" i="2"/>
  <c r="AW39" i="2"/>
  <c r="AV39" i="2"/>
  <c r="AU39" i="2"/>
  <c r="AT39" i="2"/>
  <c r="AS39" i="2"/>
  <c r="B39" i="2"/>
  <c r="AW33" i="2"/>
  <c r="AV33" i="2"/>
  <c r="AU33" i="2"/>
  <c r="AT33" i="2"/>
  <c r="AS33" i="2"/>
  <c r="B33" i="2"/>
  <c r="AW32" i="2"/>
  <c r="AV32" i="2"/>
  <c r="AU32" i="2"/>
  <c r="AT32" i="2"/>
  <c r="AS32" i="2"/>
  <c r="B32" i="2"/>
  <c r="AW31" i="2"/>
  <c r="AV31" i="2"/>
  <c r="AU31" i="2"/>
  <c r="AT31" i="2"/>
  <c r="AS31" i="2"/>
  <c r="B31" i="2"/>
  <c r="AU29" i="2"/>
  <c r="AU37" i="2" s="1"/>
  <c r="AU45" i="2" s="1"/>
  <c r="AU53" i="2" s="1"/>
  <c r="AU61" i="2" s="1"/>
  <c r="AU69" i="2" s="1"/>
  <c r="AU77" i="2" s="1"/>
  <c r="AU85" i="2" s="1"/>
  <c r="AU93" i="2" s="1"/>
  <c r="AU101" i="2" s="1"/>
  <c r="AU109" i="2" s="1"/>
  <c r="AT29" i="2"/>
  <c r="AT37" i="2" s="1"/>
  <c r="AT45" i="2" s="1"/>
  <c r="AT53" i="2" s="1"/>
  <c r="AT61" i="2" s="1"/>
  <c r="AT69" i="2" s="1"/>
  <c r="AT77" i="2" s="1"/>
  <c r="AT85" i="2" s="1"/>
  <c r="AT93" i="2" s="1"/>
  <c r="AT101" i="2" s="1"/>
  <c r="AT109" i="2" s="1"/>
  <c r="AS29" i="2"/>
  <c r="AS37" i="2" s="1"/>
  <c r="AS45" i="2" s="1"/>
  <c r="AS53" i="2" s="1"/>
  <c r="AS61" i="2" s="1"/>
  <c r="AS69" i="2" s="1"/>
  <c r="AS77" i="2" s="1"/>
  <c r="AS85" i="2" s="1"/>
  <c r="AS93" i="2" s="1"/>
  <c r="AS101" i="2" s="1"/>
  <c r="AS109" i="2" s="1"/>
  <c r="AW26" i="2"/>
  <c r="AV26" i="2"/>
  <c r="AU26" i="2"/>
  <c r="AT26" i="2"/>
  <c r="AS26" i="2"/>
  <c r="AW25" i="2"/>
  <c r="AV25" i="2"/>
  <c r="AU25" i="2"/>
  <c r="AT25" i="2"/>
  <c r="AS25" i="2"/>
  <c r="AW24" i="2"/>
  <c r="AV24" i="2"/>
  <c r="AU24" i="2"/>
  <c r="AT24" i="2"/>
  <c r="AS24" i="2"/>
  <c r="AW23" i="2"/>
  <c r="AV23" i="2"/>
  <c r="AU23" i="2"/>
  <c r="AT23" i="2"/>
  <c r="AS23" i="2"/>
  <c r="P18" i="2"/>
  <c r="H8" i="2"/>
  <c r="E8" i="2"/>
  <c r="D8" i="2"/>
  <c r="C8" i="2"/>
  <c r="F8" i="2" s="1"/>
  <c r="G8" i="2" s="1"/>
  <c r="I8" i="2" s="1"/>
  <c r="J8" i="2" s="1"/>
  <c r="D9" i="2" s="1"/>
  <c r="C2" i="2"/>
  <c r="H3" i="2" s="1"/>
  <c r="C128" i="2" l="1"/>
  <c r="Z128" i="2" s="1"/>
  <c r="C129" i="2"/>
  <c r="Z129" i="2" s="1"/>
  <c r="E129" i="2"/>
  <c r="AB129" i="2" s="1"/>
  <c r="C127" i="2"/>
  <c r="Z127" i="2" s="1"/>
  <c r="E128" i="2"/>
  <c r="E127" i="2"/>
  <c r="AB127" i="2" s="1"/>
  <c r="AH127" i="2" s="1"/>
  <c r="I3" i="2"/>
  <c r="D13" i="2"/>
  <c r="K120" i="2" s="1"/>
  <c r="D12" i="2"/>
  <c r="C119" i="2" s="1"/>
  <c r="C120" i="2"/>
  <c r="D11" i="2"/>
  <c r="D10" i="2"/>
  <c r="C118" i="2" s="1"/>
  <c r="C3" i="2"/>
  <c r="C22" i="2" s="1"/>
  <c r="D3" i="2"/>
  <c r="D22" i="2" s="1"/>
  <c r="E3" i="2"/>
  <c r="L2" i="2"/>
  <c r="F3" i="2"/>
  <c r="M2" i="2"/>
  <c r="G3" i="2"/>
  <c r="G22" i="2" s="1"/>
  <c r="H22" i="2" s="1"/>
  <c r="I22" i="2" s="1"/>
  <c r="J22" i="2" s="1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Q22" i="2" s="1"/>
  <c r="AR22" i="2" s="1"/>
  <c r="K128" i="2" l="1"/>
  <c r="AB128" i="2"/>
  <c r="AH128" i="2" s="1"/>
  <c r="AH129" i="2"/>
  <c r="K129" i="2"/>
  <c r="K127" i="2"/>
  <c r="AH130" i="2"/>
  <c r="L3" i="2"/>
  <c r="C30" i="2" s="1"/>
  <c r="P3" i="2"/>
  <c r="R3" i="2"/>
  <c r="Q3" i="2"/>
  <c r="O3" i="2"/>
  <c r="N3" i="2"/>
  <c r="M3" i="2"/>
  <c r="D30" i="2" s="1"/>
  <c r="U2" i="2"/>
  <c r="E22" i="2"/>
  <c r="F22" i="2" s="1"/>
  <c r="E30" i="2" l="1"/>
  <c r="Y3" i="2"/>
  <c r="X3" i="2"/>
  <c r="W3" i="2"/>
  <c r="V3" i="2"/>
  <c r="U3" i="2"/>
  <c r="C38" i="2" s="1"/>
  <c r="D2" i="2"/>
  <c r="Z3" i="2"/>
  <c r="AA3" i="2"/>
  <c r="F30" i="2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Q30" i="2" s="1"/>
  <c r="R30" i="2" s="1"/>
  <c r="T30" i="2" s="1"/>
  <c r="U30" i="2" s="1"/>
  <c r="V30" i="2" s="1"/>
  <c r="W30" i="2" s="1"/>
  <c r="X30" i="2" s="1"/>
  <c r="Y30" i="2" s="1"/>
  <c r="Z30" i="2" s="1"/>
  <c r="AA30" i="2" s="1"/>
  <c r="AB30" i="2" s="1"/>
  <c r="AC30" i="2" s="1"/>
  <c r="AD30" i="2" s="1"/>
  <c r="AE30" i="2" s="1"/>
  <c r="AF30" i="2" s="1"/>
  <c r="AG30" i="2" s="1"/>
  <c r="AH30" i="2" s="1"/>
  <c r="AI30" i="2" s="1"/>
  <c r="AJ30" i="2" s="1"/>
  <c r="AK30" i="2" s="1"/>
  <c r="AL30" i="2" s="1"/>
  <c r="AM30" i="2" s="1"/>
  <c r="AN30" i="2" s="1"/>
  <c r="AO30" i="2" s="1"/>
  <c r="AP30" i="2" s="1"/>
  <c r="AQ30" i="2" s="1"/>
  <c r="AR30" i="2" s="1"/>
  <c r="D38" i="2" l="1"/>
  <c r="N2" i="2"/>
  <c r="I4" i="2"/>
  <c r="H4" i="2"/>
  <c r="F4" i="2"/>
  <c r="F46" i="2" s="1"/>
  <c r="E4" i="2"/>
  <c r="G4" i="2"/>
  <c r="D4" i="2"/>
  <c r="C4" i="2"/>
  <c r="C46" i="2" s="1"/>
  <c r="E38" i="2"/>
  <c r="F38" i="2" s="1"/>
  <c r="G38" i="2" s="1"/>
  <c r="H38" i="2" s="1"/>
  <c r="I38" i="2" s="1"/>
  <c r="J38" i="2" s="1"/>
  <c r="K38" i="2" s="1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AA38" i="2" s="1"/>
  <c r="AB38" i="2" s="1"/>
  <c r="AC38" i="2" s="1"/>
  <c r="AD38" i="2" s="1"/>
  <c r="AE38" i="2" s="1"/>
  <c r="AF38" i="2" s="1"/>
  <c r="AG38" i="2" s="1"/>
  <c r="AH38" i="2" s="1"/>
  <c r="AI38" i="2" s="1"/>
  <c r="AJ38" i="2" s="1"/>
  <c r="AK38" i="2" s="1"/>
  <c r="AL38" i="2" s="1"/>
  <c r="AM38" i="2" s="1"/>
  <c r="AN38" i="2" s="1"/>
  <c r="AO38" i="2" s="1"/>
  <c r="AP38" i="2" s="1"/>
  <c r="AQ38" i="2" s="1"/>
  <c r="AR38" i="2" s="1"/>
  <c r="G46" i="2" l="1"/>
  <c r="H46" i="2"/>
  <c r="D46" i="2"/>
  <c r="E46" i="2"/>
  <c r="I46" i="2"/>
  <c r="J46" i="2" s="1"/>
  <c r="K46" i="2" s="1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AC46" i="2" s="1"/>
  <c r="AD46" i="2" s="1"/>
  <c r="AE46" i="2" s="1"/>
  <c r="AF46" i="2" s="1"/>
  <c r="AG46" i="2" s="1"/>
  <c r="AH46" i="2" s="1"/>
  <c r="AI46" i="2" s="1"/>
  <c r="AJ46" i="2" s="1"/>
  <c r="AK46" i="2" s="1"/>
  <c r="AL46" i="2" s="1"/>
  <c r="AM46" i="2" s="1"/>
  <c r="AN46" i="2" s="1"/>
  <c r="AO46" i="2" s="1"/>
  <c r="AP46" i="2" s="1"/>
  <c r="AQ46" i="2" s="1"/>
  <c r="AR46" i="2" s="1"/>
  <c r="N4" i="2"/>
  <c r="M4" i="2"/>
  <c r="L4" i="2"/>
  <c r="C54" i="2" s="1"/>
  <c r="R4" i="2"/>
  <c r="Q4" i="2"/>
  <c r="H54" i="2" s="1"/>
  <c r="V2" i="2"/>
  <c r="P4" i="2"/>
  <c r="O4" i="2"/>
  <c r="D54" i="2" l="1"/>
  <c r="AA4" i="2"/>
  <c r="Z4" i="2"/>
  <c r="Y4" i="2"/>
  <c r="X4" i="2"/>
  <c r="U4" i="2"/>
  <c r="C62" i="2" s="1"/>
  <c r="W4" i="2"/>
  <c r="E2" i="2"/>
  <c r="V4" i="2"/>
  <c r="D62" i="2" s="1"/>
  <c r="I54" i="2"/>
  <c r="J54" i="2" s="1"/>
  <c r="K54" i="2" s="1"/>
  <c r="L54" i="2" s="1"/>
  <c r="M54" i="2" s="1"/>
  <c r="N54" i="2" s="1"/>
  <c r="O54" i="2" s="1"/>
  <c r="P54" i="2" s="1"/>
  <c r="Q54" i="2" s="1"/>
  <c r="R54" i="2" s="1"/>
  <c r="S54" i="2" s="1"/>
  <c r="T54" i="2" s="1"/>
  <c r="U54" i="2" s="1"/>
  <c r="V54" i="2" s="1"/>
  <c r="W54" i="2" s="1"/>
  <c r="X54" i="2" s="1"/>
  <c r="Y54" i="2" s="1"/>
  <c r="Z54" i="2" s="1"/>
  <c r="AA54" i="2" s="1"/>
  <c r="AB54" i="2" s="1"/>
  <c r="AC54" i="2" s="1"/>
  <c r="AD54" i="2" s="1"/>
  <c r="AE54" i="2" s="1"/>
  <c r="AF54" i="2" s="1"/>
  <c r="AG54" i="2" s="1"/>
  <c r="AH54" i="2" s="1"/>
  <c r="AI54" i="2" s="1"/>
  <c r="AJ54" i="2" s="1"/>
  <c r="AK54" i="2" s="1"/>
  <c r="AL54" i="2" s="1"/>
  <c r="AM54" i="2" s="1"/>
  <c r="AN54" i="2" s="1"/>
  <c r="AO54" i="2" s="1"/>
  <c r="AP54" i="2" s="1"/>
  <c r="AQ54" i="2" s="1"/>
  <c r="AR54" i="2" s="1"/>
  <c r="E54" i="2"/>
  <c r="F54" i="2" s="1"/>
  <c r="G54" i="2" s="1"/>
  <c r="C5" i="2" l="1"/>
  <c r="C70" i="2" s="1"/>
  <c r="I5" i="2"/>
  <c r="D5" i="2"/>
  <c r="D70" i="2" s="1"/>
  <c r="H5" i="2"/>
  <c r="G5" i="2"/>
  <c r="F5" i="2"/>
  <c r="F70" i="2" s="1"/>
  <c r="E5" i="2"/>
  <c r="E70" i="2" s="1"/>
  <c r="O2" i="2"/>
  <c r="E62" i="2"/>
  <c r="F62" i="2" s="1"/>
  <c r="G62" i="2" s="1"/>
  <c r="H62" i="2" s="1"/>
  <c r="I62" i="2" s="1"/>
  <c r="J62" i="2" s="1"/>
  <c r="K62" i="2" s="1"/>
  <c r="L62" i="2" s="1"/>
  <c r="M62" i="2" s="1"/>
  <c r="N62" i="2" s="1"/>
  <c r="O62" i="2" s="1"/>
  <c r="P62" i="2" s="1"/>
  <c r="Q62" i="2" s="1"/>
  <c r="R62" i="2" s="1"/>
  <c r="S62" i="2" s="1"/>
  <c r="T62" i="2" s="1"/>
  <c r="U62" i="2" s="1"/>
  <c r="V62" i="2" s="1"/>
  <c r="W62" i="2" s="1"/>
  <c r="X62" i="2" s="1"/>
  <c r="Y62" i="2" s="1"/>
  <c r="Z62" i="2" s="1"/>
  <c r="AA62" i="2" s="1"/>
  <c r="AB62" i="2" s="1"/>
  <c r="AC62" i="2" s="1"/>
  <c r="AD62" i="2" s="1"/>
  <c r="AE62" i="2" s="1"/>
  <c r="AF62" i="2" s="1"/>
  <c r="AG62" i="2" s="1"/>
  <c r="AH62" i="2" s="1"/>
  <c r="AI62" i="2" s="1"/>
  <c r="AJ62" i="2" s="1"/>
  <c r="AK62" i="2" s="1"/>
  <c r="AL62" i="2" s="1"/>
  <c r="AM62" i="2" s="1"/>
  <c r="AN62" i="2" s="1"/>
  <c r="AO62" i="2" s="1"/>
  <c r="AP62" i="2" s="1"/>
  <c r="AQ62" i="2" s="1"/>
  <c r="AR62" i="2" s="1"/>
  <c r="Q5" i="2" l="1"/>
  <c r="P5" i="2"/>
  <c r="O5" i="2"/>
  <c r="N5" i="2"/>
  <c r="M5" i="2"/>
  <c r="R5" i="2"/>
  <c r="I78" i="2" s="1"/>
  <c r="J78" i="2" s="1"/>
  <c r="K78" i="2" s="1"/>
  <c r="L78" i="2" s="1"/>
  <c r="M78" i="2" s="1"/>
  <c r="N78" i="2" s="1"/>
  <c r="O78" i="2" s="1"/>
  <c r="P78" i="2" s="1"/>
  <c r="Q78" i="2" s="1"/>
  <c r="R78" i="2" s="1"/>
  <c r="S78" i="2" s="1"/>
  <c r="T78" i="2" s="1"/>
  <c r="U78" i="2" s="1"/>
  <c r="V78" i="2" s="1"/>
  <c r="W78" i="2" s="1"/>
  <c r="X78" i="2" s="1"/>
  <c r="Y78" i="2" s="1"/>
  <c r="Z78" i="2" s="1"/>
  <c r="AA78" i="2" s="1"/>
  <c r="AB78" i="2" s="1"/>
  <c r="AC78" i="2" s="1"/>
  <c r="AD78" i="2" s="1"/>
  <c r="AE78" i="2" s="1"/>
  <c r="AF78" i="2" s="1"/>
  <c r="AG78" i="2" s="1"/>
  <c r="AH78" i="2" s="1"/>
  <c r="AI78" i="2" s="1"/>
  <c r="AJ78" i="2" s="1"/>
  <c r="AK78" i="2" s="1"/>
  <c r="AL78" i="2" s="1"/>
  <c r="AM78" i="2" s="1"/>
  <c r="AN78" i="2" s="1"/>
  <c r="AO78" i="2" s="1"/>
  <c r="AP78" i="2" s="1"/>
  <c r="AQ78" i="2" s="1"/>
  <c r="AR78" i="2" s="1"/>
  <c r="L5" i="2"/>
  <c r="C78" i="2" s="1"/>
  <c r="W2" i="2"/>
  <c r="G70" i="2"/>
  <c r="H70" i="2"/>
  <c r="I70" i="2"/>
  <c r="J70" i="2" s="1"/>
  <c r="K70" i="2" s="1"/>
  <c r="L70" i="2" s="1"/>
  <c r="M70" i="2" s="1"/>
  <c r="N70" i="2" s="1"/>
  <c r="O70" i="2" s="1"/>
  <c r="P70" i="2" s="1"/>
  <c r="Q70" i="2" s="1"/>
  <c r="R70" i="2" s="1"/>
  <c r="S70" i="2" s="1"/>
  <c r="T70" i="2" s="1"/>
  <c r="U70" i="2" s="1"/>
  <c r="V70" i="2" s="1"/>
  <c r="W70" i="2" s="1"/>
  <c r="X70" i="2" s="1"/>
  <c r="Y70" i="2" s="1"/>
  <c r="Z70" i="2" s="1"/>
  <c r="AA70" i="2" s="1"/>
  <c r="AB70" i="2" s="1"/>
  <c r="AC70" i="2" s="1"/>
  <c r="AD70" i="2" s="1"/>
  <c r="AE70" i="2" s="1"/>
  <c r="AF70" i="2" s="1"/>
  <c r="AG70" i="2" s="1"/>
  <c r="AH70" i="2" s="1"/>
  <c r="AI70" i="2" s="1"/>
  <c r="AJ70" i="2" s="1"/>
  <c r="AK70" i="2" s="1"/>
  <c r="AL70" i="2" s="1"/>
  <c r="AM70" i="2" s="1"/>
  <c r="AN70" i="2" s="1"/>
  <c r="AO70" i="2" s="1"/>
  <c r="AP70" i="2" s="1"/>
  <c r="AQ70" i="2" s="1"/>
  <c r="AR70" i="2" s="1"/>
  <c r="AA5" i="2" l="1"/>
  <c r="F2" i="2"/>
  <c r="X5" i="2"/>
  <c r="Z5" i="2"/>
  <c r="Y5" i="2"/>
  <c r="W5" i="2"/>
  <c r="E86" i="2" s="1"/>
  <c r="V5" i="2"/>
  <c r="U5" i="2"/>
  <c r="C86" i="2" s="1"/>
  <c r="D78" i="2"/>
  <c r="E78" i="2"/>
  <c r="F78" i="2"/>
  <c r="G78" i="2" s="1"/>
  <c r="H78" i="2" s="1"/>
  <c r="D86" i="2" l="1"/>
  <c r="F86" i="2"/>
  <c r="G86" i="2" s="1"/>
  <c r="H86" i="2" s="1"/>
  <c r="I86" i="2" s="1"/>
  <c r="J86" i="2" s="1"/>
  <c r="K86" i="2" s="1"/>
  <c r="L86" i="2" s="1"/>
  <c r="M86" i="2" s="1"/>
  <c r="N86" i="2" s="1"/>
  <c r="O86" i="2" s="1"/>
  <c r="P86" i="2" s="1"/>
  <c r="Q86" i="2" s="1"/>
  <c r="R86" i="2" s="1"/>
  <c r="S86" i="2" s="1"/>
  <c r="T86" i="2" s="1"/>
  <c r="U86" i="2" s="1"/>
  <c r="V86" i="2" s="1"/>
  <c r="W86" i="2" s="1"/>
  <c r="X86" i="2" s="1"/>
  <c r="Y86" i="2" s="1"/>
  <c r="Z86" i="2" s="1"/>
  <c r="AA86" i="2" s="1"/>
  <c r="AB86" i="2" s="1"/>
  <c r="AC86" i="2" s="1"/>
  <c r="AD86" i="2" s="1"/>
  <c r="AE86" i="2" s="1"/>
  <c r="AF86" i="2" s="1"/>
  <c r="AG86" i="2" s="1"/>
  <c r="AH86" i="2" s="1"/>
  <c r="AI86" i="2" s="1"/>
  <c r="AJ86" i="2" s="1"/>
  <c r="AK86" i="2" s="1"/>
  <c r="AL86" i="2" s="1"/>
  <c r="AM86" i="2" s="1"/>
  <c r="AN86" i="2" s="1"/>
  <c r="AO86" i="2" s="1"/>
  <c r="AP86" i="2" s="1"/>
  <c r="AQ86" i="2" s="1"/>
  <c r="AR86" i="2" s="1"/>
  <c r="F6" i="2"/>
  <c r="E6" i="2"/>
  <c r="D6" i="2"/>
  <c r="C6" i="2"/>
  <c r="C94" i="2" s="1"/>
  <c r="G6" i="2"/>
  <c r="G94" i="2" s="1"/>
  <c r="I6" i="2"/>
  <c r="H6" i="2"/>
  <c r="H94" i="2" s="1"/>
  <c r="P2" i="2"/>
  <c r="R6" i="2" l="1"/>
  <c r="Q6" i="2"/>
  <c r="P6" i="2"/>
  <c r="N6" i="2"/>
  <c r="M6" i="2"/>
  <c r="O6" i="2"/>
  <c r="X2" i="2"/>
  <c r="L6" i="2"/>
  <c r="C102" i="2" s="1"/>
  <c r="I94" i="2"/>
  <c r="J94" i="2" s="1"/>
  <c r="K94" i="2" s="1"/>
  <c r="L94" i="2" s="1"/>
  <c r="M94" i="2" s="1"/>
  <c r="N94" i="2" s="1"/>
  <c r="O94" i="2" s="1"/>
  <c r="P94" i="2" s="1"/>
  <c r="Q94" i="2" s="1"/>
  <c r="R94" i="2" s="1"/>
  <c r="S94" i="2" s="1"/>
  <c r="T94" i="2" s="1"/>
  <c r="U94" i="2" s="1"/>
  <c r="V94" i="2" s="1"/>
  <c r="W94" i="2" s="1"/>
  <c r="X94" i="2" s="1"/>
  <c r="Y94" i="2" s="1"/>
  <c r="Z94" i="2" s="1"/>
  <c r="AA94" i="2" s="1"/>
  <c r="AB94" i="2" s="1"/>
  <c r="AC94" i="2" s="1"/>
  <c r="AD94" i="2" s="1"/>
  <c r="AE94" i="2" s="1"/>
  <c r="AF94" i="2" s="1"/>
  <c r="AG94" i="2" s="1"/>
  <c r="AH94" i="2" s="1"/>
  <c r="AI94" i="2" s="1"/>
  <c r="AJ94" i="2" s="1"/>
  <c r="AK94" i="2" s="1"/>
  <c r="AL94" i="2" s="1"/>
  <c r="AM94" i="2" s="1"/>
  <c r="AN94" i="2" s="1"/>
  <c r="AO94" i="2" s="1"/>
  <c r="AP94" i="2" s="1"/>
  <c r="AQ94" i="2" s="1"/>
  <c r="AR94" i="2" s="1"/>
  <c r="D94" i="2"/>
  <c r="E94" i="2" s="1"/>
  <c r="F94" i="2" s="1"/>
  <c r="V6" i="2" l="1"/>
  <c r="U6" i="2"/>
  <c r="C110" i="2" s="1"/>
  <c r="AA6" i="2"/>
  <c r="W6" i="2"/>
  <c r="E110" i="2" s="1"/>
  <c r="Z6" i="2"/>
  <c r="Y6" i="2"/>
  <c r="X6" i="2"/>
  <c r="D102" i="2"/>
  <c r="E102" i="2" s="1"/>
  <c r="F102" i="2" s="1"/>
  <c r="G102" i="2" s="1"/>
  <c r="H102" i="2" s="1"/>
  <c r="I102" i="2" s="1"/>
  <c r="J102" i="2" s="1"/>
  <c r="K102" i="2" s="1"/>
  <c r="L102" i="2" s="1"/>
  <c r="M102" i="2" s="1"/>
  <c r="N102" i="2" s="1"/>
  <c r="O102" i="2" s="1"/>
  <c r="P102" i="2" s="1"/>
  <c r="Q102" i="2" s="1"/>
  <c r="R102" i="2" s="1"/>
  <c r="S102" i="2" s="1"/>
  <c r="T102" i="2" s="1"/>
  <c r="U102" i="2" s="1"/>
  <c r="V102" i="2" s="1"/>
  <c r="W102" i="2" s="1"/>
  <c r="X102" i="2" s="1"/>
  <c r="Y102" i="2" s="1"/>
  <c r="Z102" i="2" s="1"/>
  <c r="AA102" i="2" s="1"/>
  <c r="AB102" i="2" s="1"/>
  <c r="AC102" i="2" s="1"/>
  <c r="AD102" i="2" s="1"/>
  <c r="AE102" i="2" s="1"/>
  <c r="AF102" i="2" s="1"/>
  <c r="AG102" i="2" s="1"/>
  <c r="AH102" i="2" s="1"/>
  <c r="AI102" i="2" s="1"/>
  <c r="AJ102" i="2" s="1"/>
  <c r="AK102" i="2" s="1"/>
  <c r="AL102" i="2" s="1"/>
  <c r="AM102" i="2" s="1"/>
  <c r="AN102" i="2" s="1"/>
  <c r="AO102" i="2" s="1"/>
  <c r="AP102" i="2" s="1"/>
  <c r="AQ102" i="2" s="1"/>
  <c r="AR102" i="2" s="1"/>
  <c r="F110" i="2" l="1"/>
  <c r="G110" i="2"/>
  <c r="H110" i="2"/>
  <c r="I110" i="2"/>
  <c r="J110" i="2" s="1"/>
  <c r="K110" i="2" s="1"/>
  <c r="L110" i="2" s="1"/>
  <c r="M110" i="2" s="1"/>
  <c r="N110" i="2" s="1"/>
  <c r="O110" i="2" s="1"/>
  <c r="P110" i="2" s="1"/>
  <c r="Q110" i="2" s="1"/>
  <c r="R110" i="2" s="1"/>
  <c r="S110" i="2" s="1"/>
  <c r="T110" i="2" s="1"/>
  <c r="U110" i="2" s="1"/>
  <c r="V110" i="2" s="1"/>
  <c r="W110" i="2" s="1"/>
  <c r="X110" i="2" s="1"/>
  <c r="Y110" i="2" s="1"/>
  <c r="Z110" i="2" s="1"/>
  <c r="AA110" i="2" s="1"/>
  <c r="AB110" i="2" s="1"/>
  <c r="AC110" i="2" s="1"/>
  <c r="AD110" i="2" s="1"/>
  <c r="AE110" i="2" s="1"/>
  <c r="AF110" i="2" s="1"/>
  <c r="AG110" i="2" s="1"/>
  <c r="AH110" i="2" s="1"/>
  <c r="AI110" i="2" s="1"/>
  <c r="AJ110" i="2" s="1"/>
  <c r="AK110" i="2" s="1"/>
  <c r="AL110" i="2" s="1"/>
  <c r="AM110" i="2" s="1"/>
  <c r="AN110" i="2" s="1"/>
  <c r="AO110" i="2" s="1"/>
  <c r="AP110" i="2" s="1"/>
  <c r="AQ110" i="2" s="1"/>
  <c r="AR110" i="2" s="1"/>
  <c r="D110" i="2"/>
</calcChain>
</file>

<file path=xl/sharedStrings.xml><?xml version="1.0" encoding="utf-8"?>
<sst xmlns="http://schemas.openxmlformats.org/spreadsheetml/2006/main" count="1354" uniqueCount="85">
  <si>
    <t>Jan</t>
  </si>
  <si>
    <t>Apr</t>
  </si>
  <si>
    <t>Jul</t>
  </si>
  <si>
    <t>Oct</t>
  </si>
  <si>
    <t>Feb</t>
  </si>
  <si>
    <t>May</t>
  </si>
  <si>
    <t>Aug</t>
  </si>
  <si>
    <t>Nov</t>
  </si>
  <si>
    <t>Mar</t>
  </si>
  <si>
    <t>Jun</t>
  </si>
  <si>
    <t>Sep</t>
  </si>
  <si>
    <t>Dec</t>
  </si>
  <si>
    <t>Feriados</t>
  </si>
  <si>
    <t>Páscoa</t>
  </si>
  <si>
    <t>Carnaval</t>
  </si>
  <si>
    <t>Quarta Cinzas</t>
  </si>
  <si>
    <t>Sexta Santa</t>
  </si>
  <si>
    <t>Corpo Deus</t>
  </si>
  <si>
    <t xml:space="preserve">   CALENDÁRIOS DESDE:</t>
  </si>
  <si>
    <t>MUDE O ANO AQUI</t>
  </si>
  <si>
    <t>(1900  a  2078)</t>
  </si>
  <si>
    <t>CALENDÁRIO PARA:</t>
  </si>
  <si>
    <t>JANEIRO</t>
  </si>
  <si>
    <t>SEM</t>
  </si>
  <si>
    <t>DOM</t>
  </si>
  <si>
    <t>SEG</t>
  </si>
  <si>
    <t>TER</t>
  </si>
  <si>
    <t>QUA</t>
  </si>
  <si>
    <t>QUI</t>
  </si>
  <si>
    <t>SEX</t>
  </si>
  <si>
    <t>SAB</t>
  </si>
  <si>
    <t>F26</t>
  </si>
  <si>
    <t>F25</t>
  </si>
  <si>
    <t>DFT</t>
  </si>
  <si>
    <t>DD</t>
  </si>
  <si>
    <t>Ex</t>
  </si>
  <si>
    <t>FEVEREIRO</t>
  </si>
  <si>
    <t>C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</si>
  <si>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</si>
  <si>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</si>
  <si>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</si>
  <si>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</si>
  <si>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</si>
  <si>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</si>
  <si>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</si>
  <si>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</si>
  <si>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</si>
  <si>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</si>
  <si>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 Novo</t>
  </si>
  <si>
    <t>Dia do Trabalhador</t>
  </si>
  <si>
    <t>Implantação da República</t>
  </si>
  <si>
    <t>Dia de Palmela</t>
  </si>
  <si>
    <t>Dia de Todos os Santos</t>
  </si>
  <si>
    <t>Sexta Feira Santa</t>
  </si>
  <si>
    <t>Dia de Portugal</t>
  </si>
  <si>
    <t>Restauração da Independência</t>
  </si>
  <si>
    <t>Corpo de Deus</t>
  </si>
  <si>
    <t>Nossa Srª. Da Conceição</t>
  </si>
  <si>
    <t>Dia da Liberdade</t>
  </si>
  <si>
    <t>Assunção Nossa Srª.</t>
  </si>
  <si>
    <t>Natal</t>
  </si>
  <si>
    <t>Ferias 26</t>
  </si>
  <si>
    <t>Ferias 25</t>
  </si>
  <si>
    <t>Total</t>
  </si>
  <si>
    <t>Legenda:</t>
  </si>
  <si>
    <t>F24</t>
  </si>
  <si>
    <t>Holidays 2024</t>
  </si>
  <si>
    <t>Plan</t>
  </si>
  <si>
    <t>Holidays 2025</t>
  </si>
  <si>
    <t>Done</t>
  </si>
  <si>
    <t>Down Days</t>
  </si>
  <si>
    <t>B</t>
  </si>
  <si>
    <t>Baixa</t>
  </si>
  <si>
    <t>Compensação</t>
  </si>
  <si>
    <t>Extras (Casamento, Assistência à família…)</t>
  </si>
  <si>
    <t>Débito Flextime</t>
  </si>
  <si>
    <t>Pedro</t>
  </si>
  <si>
    <t>Miguel</t>
  </si>
  <si>
    <t>Gichelson</t>
  </si>
  <si>
    <t xml:space="preserve">Pedro </t>
  </si>
  <si>
    <t>Férias gozadas 2025</t>
  </si>
  <si>
    <t>Férias 2025</t>
  </si>
  <si>
    <t>Férias por gozar 2025</t>
  </si>
  <si>
    <t>Férias gozadas 2026</t>
  </si>
  <si>
    <t>Férias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</si>
</sst>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1" x14ac:knownFonts="1">
    <font>
      <sz val="10"/>
      <name val="Arial"/>
    </font>
    <font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  <font>
      <b/>
      <sz val="10"/>
      <color indexed="10"/>
      <name val="MS Sans Serif"/>
      <family val="2"/>
    </font>
    <font>
      <b/>
      <sz val="16"/>
      <color indexed="8"/>
      <name val="MS Sans Serif"/>
      <family val="2"/>
    </font>
    <font>
      <b/>
      <sz val="10"/>
      <color indexed="56"/>
      <name val="MS Sans Serif"/>
      <family val="2"/>
    </font>
    <font>
      <b/>
      <sz val="10"/>
      <color indexed="58"/>
      <name val="MS Sans Serif"/>
      <family val="2"/>
    </font>
    <font>
      <b/>
      <sz val="15"/>
      <color indexed="10"/>
      <name val="MS Sans Serif"/>
      <family val="2"/>
    </font>
    <font>
      <sz val="10"/>
      <color indexed="8"/>
      <name val="MS Sans Serif"/>
      <family val="2"/>
    </font>
    <font>
      <b/>
      <sz val="11"/>
      <name val="Arial"/>
      <family val="2"/>
      <charset val="178"/>
    </font>
    <font>
      <b/>
      <sz val="14"/>
      <color indexed="12"/>
      <name val="Verdana"/>
      <family val="2"/>
    </font>
    <font>
      <b/>
      <sz val="8"/>
      <color indexed="20"/>
      <name val="MS Sans Serif"/>
      <family val="2"/>
    </font>
    <font>
      <b/>
      <sz val="9"/>
      <color indexed="10"/>
      <name val="MS Sans Serif"/>
      <family val="2"/>
    </font>
    <font>
      <b/>
      <sz val="9"/>
      <color indexed="16"/>
      <name val="MS Sans Serif"/>
      <family val="2"/>
    </font>
    <font>
      <b/>
      <sz val="10"/>
      <color indexed="8"/>
      <name val="MS Sans Serif"/>
      <family val="2"/>
    </font>
    <font>
      <sz val="10"/>
      <color theme="0"/>
      <name val="MS Sans Serif"/>
      <family val="2"/>
    </font>
    <font>
      <sz val="10"/>
      <color theme="1"/>
      <name val="MS Sans Serif"/>
      <family val="2"/>
    </font>
    <font>
      <sz val="11"/>
      <name val="Arial"/>
      <family val="2"/>
    </font>
    <font>
      <sz val="10"/>
      <name val="MS Sans Serif"/>
    </font>
    <font>
      <sz val="8"/>
      <name val="Arial"/>
    </font>
  </fonts>
  <fills count="14">
    <fill>
      <patternFill patternType="none"/>
    </fill>
    <fill>
      <patternFill patternType="gray125"/>
    </fill>
    <fill>
      <patternFill patternType="solid">
        <fgColor indexed="15"/>
      </patternFill>
    </fill>
    <fill>
      <patternFill patternType="solid">
        <fgColor indexed="13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ashDot">
        <color indexed="64"/>
      </right>
      <top style="medium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medium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medium">
        <color indexed="64"/>
      </top>
      <bottom style="dashDot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ashDot">
        <color indexed="64"/>
      </right>
      <top style="dashDot">
        <color indexed="64"/>
      </top>
      <bottom style="medium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medium">
        <color indexed="64"/>
      </bottom>
      <diagonal/>
    </border>
    <border>
      <left style="dashDot">
        <color indexed="64"/>
      </left>
      <right style="medium">
        <color indexed="64"/>
      </right>
      <top style="dashDot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ashDot">
        <color indexed="64"/>
      </bottom>
      <diagonal/>
    </border>
    <border>
      <left style="thin">
        <color indexed="64"/>
      </left>
      <right style="dashDot">
        <color indexed="64"/>
      </right>
      <top/>
      <bottom style="dashDot">
        <color indexed="64"/>
      </bottom>
      <diagonal/>
    </border>
    <border>
      <left style="dashDot">
        <color indexed="64"/>
      </left>
      <right style="thin">
        <color indexed="64"/>
      </right>
      <top/>
      <bottom style="dashDot">
        <color indexed="64"/>
      </bottom>
      <diagonal/>
    </border>
    <border>
      <left style="thin">
        <color indexed="64"/>
      </left>
      <right style="thin">
        <color indexed="64"/>
      </right>
      <top/>
      <bottom style="dashDot">
        <color indexed="64"/>
      </bottom>
      <diagonal/>
    </border>
    <border>
      <left style="thin">
        <color indexed="64"/>
      </left>
      <right style="medium">
        <color indexed="64"/>
      </right>
      <top/>
      <bottom style="dashDot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Dot">
        <color indexed="64"/>
      </bottom>
      <diagonal/>
    </border>
    <border>
      <left style="thin">
        <color indexed="64"/>
      </left>
      <right style="dashDot">
        <color indexed="64"/>
      </right>
      <top style="medium">
        <color indexed="64"/>
      </top>
      <bottom style="dashDot">
        <color indexed="64"/>
      </bottom>
      <diagonal/>
    </border>
    <border>
      <left style="dashDot">
        <color indexed="64"/>
      </left>
      <right style="thin">
        <color indexed="64"/>
      </right>
      <top style="medium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Dot">
        <color indexed="64"/>
      </bottom>
      <diagonal/>
    </border>
    <border>
      <left style="thin">
        <color indexed="64"/>
      </left>
      <right/>
      <top style="medium">
        <color indexed="64"/>
      </top>
      <bottom style="dashDot">
        <color indexed="64"/>
      </bottom>
      <diagonal/>
    </border>
    <border>
      <left/>
      <right style="medium">
        <color indexed="64"/>
      </right>
      <top style="medium">
        <color indexed="64"/>
      </top>
      <bottom style="dashDot">
        <color indexed="64"/>
      </bottom>
      <diagonal/>
    </border>
    <border>
      <left style="medium">
        <color indexed="64"/>
      </left>
      <right/>
      <top style="medium">
        <color indexed="64"/>
      </top>
      <bottom style="dashDot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Dot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ashDot">
        <color indexed="64"/>
      </left>
      <right style="thin">
        <color indexed="64"/>
      </right>
      <top style="dashDot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Dot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Dot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Dot">
        <color indexed="64"/>
      </top>
      <bottom style="medium">
        <color indexed="64"/>
      </bottom>
      <diagonal/>
    </border>
    <border>
      <left style="thin">
        <color indexed="64"/>
      </left>
      <right style="dashDot">
        <color indexed="64"/>
      </right>
      <top style="dashDot">
        <color indexed="64"/>
      </top>
      <bottom style="medium">
        <color indexed="64"/>
      </bottom>
      <diagonal/>
    </border>
    <border>
      <left style="thin">
        <color indexed="64"/>
      </left>
      <right/>
      <top style="dashDot">
        <color indexed="64"/>
      </top>
      <bottom style="medium">
        <color indexed="64"/>
      </bottom>
      <diagonal/>
    </border>
    <border>
      <left/>
      <right style="medium">
        <color indexed="64"/>
      </right>
      <top style="dashDot">
        <color indexed="64"/>
      </top>
      <bottom style="medium">
        <color indexed="64"/>
      </bottom>
      <diagonal/>
    </border>
    <border>
      <left style="medium">
        <color indexed="64"/>
      </left>
      <right/>
      <top style="dashDot">
        <color indexed="64"/>
      </top>
      <bottom style="medium">
        <color indexed="64"/>
      </bottom>
      <diagonal/>
    </border>
    <border>
      <left/>
      <right style="thin">
        <color indexed="64"/>
      </right>
      <top style="dashDot">
        <color indexed="64"/>
      </top>
      <bottom style="medium">
        <color indexed="64"/>
      </bottom>
      <diagonal/>
    </border>
    <border>
      <left/>
      <right style="dashDot">
        <color indexed="64"/>
      </right>
      <top style="medium">
        <color indexed="64"/>
      </top>
      <bottom style="dashDot">
        <color indexed="64"/>
      </bottom>
      <diagonal/>
    </border>
    <border>
      <left style="medium">
        <color indexed="64"/>
      </left>
      <right style="thin">
        <color indexed="64"/>
      </right>
      <top/>
      <bottom style="dashDot">
        <color indexed="64"/>
      </bottom>
      <diagonal/>
    </border>
    <border>
      <left style="dashDot">
        <color indexed="64"/>
      </left>
      <right style="thin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dashDot">
        <color indexed="64"/>
      </top>
      <bottom style="dashDot">
        <color indexed="64"/>
      </bottom>
      <diagonal/>
    </border>
    <border>
      <left/>
      <right style="thin">
        <color indexed="64"/>
      </right>
      <top style="medium">
        <color indexed="64"/>
      </top>
      <bottom style="dashDot">
        <color indexed="64"/>
      </bottom>
      <diagonal/>
    </border>
    <border>
      <left style="thin">
        <color indexed="64"/>
      </left>
      <right/>
      <top style="dashDot">
        <color indexed="64"/>
      </top>
      <bottom style="dashDot">
        <color indexed="64"/>
      </bottom>
      <diagonal/>
    </border>
    <border>
      <left/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medium">
        <color indexed="64"/>
      </left>
      <right style="thin">
        <color indexed="64"/>
      </right>
      <top style="dashDot">
        <color indexed="64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/>
      <right style="thin">
        <color indexed="64"/>
      </right>
      <top style="dashDot">
        <color indexed="64"/>
      </top>
      <bottom style="dashDot">
        <color indexed="64"/>
      </bottom>
      <diagonal/>
    </border>
    <border>
      <left style="medium">
        <color indexed="64"/>
      </left>
      <right/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/>
      <top style="dashDot">
        <color indexed="64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indexed="64"/>
      </left>
      <right/>
      <top style="dashDot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3">
    <xf numFmtId="0" fontId="0" fillId="0" borderId="0" xfId="0"/>
    <xf numFmtId="0" fontId="1" fillId="0" borderId="1" xfId="1" applyBorder="1" applyAlignment="1" applyProtection="1">
      <alignment horizontal="center" vertical="center"/>
      <protection hidden="1"/>
    </xf>
    <xf numFmtId="0" fontId="1" fillId="0" borderId="2" xfId="1" applyBorder="1" applyAlignment="1" applyProtection="1">
      <alignment horizontal="center" vertical="center"/>
      <protection hidden="1"/>
    </xf>
    <xf numFmtId="0" fontId="2" fillId="2" borderId="2" xfId="1" applyFont="1" applyFill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14" fontId="1" fillId="0" borderId="4" xfId="1" applyNumberFormat="1" applyBorder="1" applyAlignment="1" applyProtection="1">
      <alignment horizontal="center" vertical="center"/>
      <protection hidden="1"/>
    </xf>
    <xf numFmtId="14" fontId="1" fillId="0" borderId="5" xfId="1" applyNumberFormat="1" applyBorder="1" applyAlignment="1" applyProtection="1">
      <alignment horizontal="center" vertical="center"/>
      <protection hidden="1"/>
    </xf>
    <xf numFmtId="14" fontId="1" fillId="0" borderId="5" xfId="1" applyNumberFormat="1" applyBorder="1" applyAlignment="1" applyProtection="1">
      <alignment horizontal="right" vertical="center"/>
      <protection hidden="1"/>
    </xf>
    <xf numFmtId="0" fontId="1" fillId="0" borderId="5" xfId="1" applyBorder="1" applyAlignment="1" applyProtection="1">
      <alignment horizontal="center" vertical="center"/>
      <protection hidden="1"/>
    </xf>
    <xf numFmtId="0" fontId="1" fillId="0" borderId="6" xfId="1" applyBorder="1" applyAlignment="1" applyProtection="1">
      <alignment horizontal="center" vertical="center"/>
      <protection hidden="1"/>
    </xf>
    <xf numFmtId="14" fontId="1" fillId="0" borderId="0" xfId="1" applyNumberFormat="1" applyAlignment="1">
      <alignment horizontal="center" vertical="center"/>
    </xf>
    <xf numFmtId="0" fontId="2" fillId="3" borderId="4" xfId="1" applyFont="1" applyFill="1" applyBorder="1" applyAlignment="1" applyProtection="1">
      <alignment horizontal="center" vertical="center"/>
      <protection hidden="1"/>
    </xf>
    <xf numFmtId="0" fontId="2" fillId="3" borderId="5" xfId="1" applyFont="1" applyFill="1" applyBorder="1" applyAlignment="1" applyProtection="1">
      <alignment horizontal="center" vertical="center"/>
      <protection hidden="1"/>
    </xf>
    <xf numFmtId="0" fontId="3" fillId="0" borderId="0" xfId="1" quotePrefix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hidden="1"/>
    </xf>
    <xf numFmtId="0" fontId="1" fillId="0" borderId="0" xfId="1" applyAlignment="1">
      <alignment vertical="center"/>
    </xf>
    <xf numFmtId="0" fontId="4" fillId="0" borderId="0" xfId="1" applyFont="1" applyAlignment="1">
      <alignment horizontal="left" vertical="center"/>
    </xf>
    <xf numFmtId="0" fontId="3" fillId="0" borderId="0" xfId="1" quotePrefix="1" applyFont="1" applyAlignment="1">
      <alignment vertical="center"/>
    </xf>
    <xf numFmtId="0" fontId="6" fillId="0" borderId="0" xfId="1" applyFont="1" applyAlignment="1" applyProtection="1">
      <alignment horizontal="centerContinuous" vertical="top"/>
      <protection hidden="1"/>
    </xf>
    <xf numFmtId="0" fontId="1" fillId="0" borderId="0" xfId="1" applyAlignment="1">
      <alignment horizontal="centerContinuous" vertical="top"/>
    </xf>
    <xf numFmtId="0" fontId="3" fillId="0" borderId="0" xfId="1" applyFont="1" applyAlignment="1">
      <alignment horizontal="centerContinuous" vertical="center"/>
    </xf>
    <xf numFmtId="0" fontId="1" fillId="0" borderId="0" xfId="1" quotePrefix="1" applyAlignment="1" applyProtection="1">
      <alignment horizontal="left" vertical="center"/>
      <protection hidden="1"/>
    </xf>
    <xf numFmtId="0" fontId="1" fillId="0" borderId="0" xfId="1" applyAlignment="1" applyProtection="1">
      <alignment horizontal="center"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1" fillId="0" borderId="0" xfId="1" applyAlignment="1" applyProtection="1">
      <alignment vertical="center"/>
      <protection hidden="1"/>
    </xf>
    <xf numFmtId="0" fontId="1" fillId="0" borderId="7" xfId="1" quotePrefix="1" applyBorder="1" applyAlignment="1" applyProtection="1">
      <alignment horizontal="left" vertical="center"/>
      <protection hidden="1"/>
    </xf>
    <xf numFmtId="0" fontId="9" fillId="0" borderId="0" xfId="1" applyFont="1" applyAlignment="1" applyProtection="1">
      <alignment horizontal="center" vertical="center"/>
      <protection hidden="1"/>
    </xf>
    <xf numFmtId="0" fontId="10" fillId="0" borderId="7" xfId="1" applyFont="1" applyBorder="1" applyAlignment="1" applyProtection="1">
      <alignment horizontal="center" vertical="center"/>
      <protection hidden="1"/>
    </xf>
    <xf numFmtId="0" fontId="10" fillId="0" borderId="0" xfId="1" applyFont="1" applyAlignment="1" applyProtection="1">
      <alignment horizontal="center" vertical="center"/>
      <protection hidden="1"/>
    </xf>
    <xf numFmtId="0" fontId="10" fillId="0" borderId="0" xfId="1" applyFont="1" applyAlignment="1">
      <alignment horizontal="center" vertical="center"/>
    </xf>
    <xf numFmtId="0" fontId="10" fillId="0" borderId="8" xfId="1" applyFont="1" applyBorder="1" applyAlignment="1" applyProtection="1">
      <alignment horizontal="center" vertical="center"/>
      <protection hidden="1"/>
    </xf>
    <xf numFmtId="0" fontId="10" fillId="0" borderId="8" xfId="1" applyFont="1" applyBorder="1" applyAlignment="1">
      <alignment horizontal="center" vertical="center"/>
    </xf>
    <xf numFmtId="0" fontId="1" fillId="0" borderId="7" xfId="1" applyBorder="1" applyAlignment="1" applyProtection="1">
      <alignment horizontal="center" vertical="center"/>
      <protection hidden="1"/>
    </xf>
    <xf numFmtId="0" fontId="12" fillId="5" borderId="9" xfId="1" applyFont="1" applyFill="1" applyBorder="1" applyAlignment="1" applyProtection="1">
      <alignment horizontal="center" vertical="center"/>
      <protection hidden="1"/>
    </xf>
    <xf numFmtId="0" fontId="13" fillId="6" borderId="9" xfId="1" applyFont="1" applyFill="1" applyBorder="1" applyAlignment="1" applyProtection="1">
      <alignment horizontal="center" vertical="center"/>
      <protection hidden="1"/>
    </xf>
    <xf numFmtId="0" fontId="14" fillId="6" borderId="10" xfId="1" applyFont="1" applyFill="1" applyBorder="1" applyAlignment="1" applyProtection="1">
      <alignment horizontal="center" vertical="center"/>
      <protection hidden="1"/>
    </xf>
    <xf numFmtId="0" fontId="14" fillId="6" borderId="11" xfId="1" applyFont="1" applyFill="1" applyBorder="1" applyAlignment="1" applyProtection="1">
      <alignment horizontal="center" vertical="center"/>
      <protection hidden="1"/>
    </xf>
    <xf numFmtId="0" fontId="13" fillId="6" borderId="11" xfId="1" applyFont="1" applyFill="1" applyBorder="1" applyAlignment="1" applyProtection="1">
      <alignment horizontal="center" vertical="center"/>
      <protection hidden="1"/>
    </xf>
    <xf numFmtId="0" fontId="13" fillId="6" borderId="12" xfId="1" applyFont="1" applyFill="1" applyBorder="1" applyAlignment="1" applyProtection="1">
      <alignment horizontal="center" vertical="center"/>
      <protection hidden="1"/>
    </xf>
    <xf numFmtId="0" fontId="14" fillId="6" borderId="13" xfId="1" applyFont="1" applyFill="1" applyBorder="1" applyAlignment="1" applyProtection="1">
      <alignment horizontal="center" vertical="center"/>
      <protection hidden="1"/>
    </xf>
    <xf numFmtId="0" fontId="10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3" fillId="0" borderId="7" xfId="1" applyFont="1" applyBorder="1" applyAlignment="1" applyProtection="1">
      <alignment horizontal="center" vertical="center"/>
      <protection hidden="1"/>
    </xf>
    <xf numFmtId="0" fontId="15" fillId="5" borderId="18" xfId="1" applyFont="1" applyFill="1" applyBorder="1" applyAlignment="1" applyProtection="1">
      <alignment horizontal="center" vertical="center"/>
      <protection hidden="1"/>
    </xf>
    <xf numFmtId="0" fontId="4" fillId="0" borderId="18" xfId="1" applyFont="1" applyBorder="1" applyAlignment="1" applyProtection="1">
      <alignment horizontal="center" vertical="center"/>
      <protection hidden="1"/>
    </xf>
    <xf numFmtId="0" fontId="1" fillId="0" borderId="19" xfId="1" applyBorder="1" applyAlignment="1" applyProtection="1">
      <alignment horizontal="center" vertical="center"/>
      <protection hidden="1"/>
    </xf>
    <xf numFmtId="0" fontId="1" fillId="0" borderId="20" xfId="1" applyBorder="1" applyAlignment="1" applyProtection="1">
      <alignment horizontal="center" vertical="center"/>
      <protection hidden="1"/>
    </xf>
    <xf numFmtId="0" fontId="9" fillId="0" borderId="20" xfId="1" applyFont="1" applyBorder="1" applyAlignment="1" applyProtection="1">
      <alignment horizontal="center" vertical="center"/>
      <protection hidden="1"/>
    </xf>
    <xf numFmtId="0" fontId="4" fillId="0" borderId="20" xfId="1" applyFont="1" applyBorder="1" applyAlignment="1" applyProtection="1">
      <alignment horizontal="center" vertical="center"/>
      <protection hidden="1"/>
    </xf>
    <xf numFmtId="0" fontId="4" fillId="7" borderId="21" xfId="1" applyFont="1" applyFill="1" applyBorder="1" applyAlignment="1" applyProtection="1">
      <alignment horizontal="center" vertical="center"/>
      <protection hidden="1"/>
    </xf>
    <xf numFmtId="0" fontId="1" fillId="0" borderId="22" xfId="1" applyBorder="1" applyAlignment="1" applyProtection="1">
      <alignment horizontal="center" vertical="center"/>
      <protection hidden="1"/>
    </xf>
    <xf numFmtId="0" fontId="4" fillId="0" borderId="21" xfId="1" applyFont="1" applyBorder="1" applyAlignment="1" applyProtection="1">
      <alignment horizontal="center" vertical="center"/>
      <protection hidden="1"/>
    </xf>
    <xf numFmtId="0" fontId="15" fillId="5" borderId="23" xfId="1" applyFont="1" applyFill="1" applyBorder="1" applyAlignment="1" applyProtection="1">
      <alignment horizontal="center" vertical="center"/>
      <protection hidden="1"/>
    </xf>
    <xf numFmtId="0" fontId="4" fillId="0" borderId="24" xfId="1" applyFont="1" applyBorder="1" applyAlignment="1" applyProtection="1">
      <alignment horizontal="center" vertical="center"/>
      <protection hidden="1"/>
    </xf>
    <xf numFmtId="0" fontId="1" fillId="0" borderId="25" xfId="1" applyBorder="1" applyAlignment="1" applyProtection="1">
      <alignment horizontal="center" vertical="center"/>
      <protection hidden="1"/>
    </xf>
    <xf numFmtId="0" fontId="1" fillId="0" borderId="26" xfId="1" applyBorder="1" applyAlignment="1" applyProtection="1">
      <alignment horizontal="center" vertical="center"/>
      <protection hidden="1"/>
    </xf>
    <xf numFmtId="0" fontId="1" fillId="8" borderId="27" xfId="1" applyFill="1" applyBorder="1" applyAlignment="1" applyProtection="1">
      <alignment horizontal="center" vertical="center"/>
      <protection hidden="1"/>
    </xf>
    <xf numFmtId="0" fontId="4" fillId="0" borderId="28" xfId="1" applyFont="1" applyBorder="1" applyAlignment="1" applyProtection="1">
      <alignment horizontal="center" vertical="center"/>
      <protection hidden="1"/>
    </xf>
    <xf numFmtId="0" fontId="1" fillId="0" borderId="29" xfId="1" applyBorder="1" applyAlignment="1" applyProtection="1">
      <alignment horizontal="center" vertical="center"/>
      <protection hidden="1"/>
    </xf>
    <xf numFmtId="0" fontId="9" fillId="0" borderId="26" xfId="1" applyFont="1" applyBorder="1" applyAlignment="1" applyProtection="1">
      <alignment horizontal="center" vertical="center"/>
      <protection hidden="1"/>
    </xf>
    <xf numFmtId="0" fontId="4" fillId="0" borderId="26" xfId="1" applyFont="1" applyBorder="1" applyAlignment="1" applyProtection="1">
      <alignment horizontal="center" vertical="center"/>
      <protection hidden="1"/>
    </xf>
    <xf numFmtId="0" fontId="1" fillId="0" borderId="30" xfId="1" applyBorder="1" applyAlignment="1" applyProtection="1">
      <alignment horizontal="center" vertical="center"/>
      <protection hidden="1"/>
    </xf>
    <xf numFmtId="0" fontId="4" fillId="0" borderId="31" xfId="1" applyFont="1" applyBorder="1" applyAlignment="1" applyProtection="1">
      <alignment horizontal="center" vertical="center"/>
      <protection hidden="1"/>
    </xf>
    <xf numFmtId="0" fontId="1" fillId="9" borderId="32" xfId="1" applyFill="1" applyBorder="1" applyAlignment="1">
      <alignment horizontal="center" vertical="center"/>
    </xf>
    <xf numFmtId="0" fontId="1" fillId="9" borderId="33" xfId="1" applyFill="1" applyBorder="1" applyAlignment="1">
      <alignment horizontal="center" vertical="center"/>
    </xf>
    <xf numFmtId="0" fontId="1" fillId="9" borderId="34" xfId="1" applyFill="1" applyBorder="1" applyAlignment="1">
      <alignment horizontal="center" vertical="center"/>
    </xf>
    <xf numFmtId="0" fontId="4" fillId="0" borderId="23" xfId="1" applyFont="1" applyBorder="1" applyAlignment="1" applyProtection="1">
      <alignment horizontal="center" vertical="center"/>
      <protection hidden="1"/>
    </xf>
    <xf numFmtId="0" fontId="1" fillId="0" borderId="27" xfId="1" applyBorder="1" applyAlignment="1" applyProtection="1">
      <alignment horizontal="center" vertical="center"/>
      <protection hidden="1"/>
    </xf>
    <xf numFmtId="0" fontId="1" fillId="0" borderId="35" xfId="1" applyBorder="1" applyAlignment="1" applyProtection="1">
      <alignment horizontal="center" vertical="center"/>
      <protection hidden="1"/>
    </xf>
    <xf numFmtId="0" fontId="4" fillId="0" borderId="36" xfId="1" applyFont="1" applyBorder="1" applyAlignment="1" applyProtection="1">
      <alignment horizontal="center" vertical="center"/>
      <protection hidden="1"/>
    </xf>
    <xf numFmtId="0" fontId="9" fillId="0" borderId="27" xfId="1" applyFont="1" applyBorder="1" applyAlignment="1" applyProtection="1">
      <alignment horizontal="center" vertical="center"/>
      <protection hidden="1"/>
    </xf>
    <xf numFmtId="0" fontId="4" fillId="0" borderId="27" xfId="1" applyFont="1" applyBorder="1" applyAlignment="1" applyProtection="1">
      <alignment horizontal="center" vertical="center"/>
      <protection hidden="1"/>
    </xf>
    <xf numFmtId="0" fontId="1" fillId="0" borderId="37" xfId="1" applyBorder="1" applyAlignment="1" applyProtection="1">
      <alignment horizontal="center" vertical="center"/>
      <protection hidden="1"/>
    </xf>
    <xf numFmtId="0" fontId="4" fillId="0" borderId="38" xfId="1" applyFont="1" applyBorder="1" applyAlignment="1" applyProtection="1">
      <alignment horizontal="center" vertical="center"/>
      <protection hidden="1"/>
    </xf>
    <xf numFmtId="0" fontId="1" fillId="9" borderId="39" xfId="1" applyFill="1" applyBorder="1" applyAlignment="1">
      <alignment horizontal="center" vertical="center"/>
    </xf>
    <xf numFmtId="0" fontId="1" fillId="9" borderId="40" xfId="1" applyFill="1" applyBorder="1" applyAlignment="1">
      <alignment horizontal="center" vertical="center"/>
    </xf>
    <xf numFmtId="0" fontId="1" fillId="9" borderId="41" xfId="1" applyFill="1" applyBorder="1" applyAlignment="1">
      <alignment horizontal="center" vertical="center"/>
    </xf>
    <xf numFmtId="0" fontId="4" fillId="10" borderId="23" xfId="1" applyFont="1" applyFill="1" applyBorder="1" applyAlignment="1" applyProtection="1">
      <alignment horizontal="center" vertical="center"/>
      <protection hidden="1"/>
    </xf>
    <xf numFmtId="0" fontId="1" fillId="0" borderId="38" xfId="1" applyBorder="1" applyAlignment="1" applyProtection="1">
      <alignment horizontal="center" vertical="center"/>
      <protection hidden="1"/>
    </xf>
    <xf numFmtId="0" fontId="4" fillId="10" borderId="38" xfId="1" applyFont="1" applyFill="1" applyBorder="1" applyAlignment="1" applyProtection="1">
      <alignment horizontal="center" vertical="center"/>
      <protection hidden="1"/>
    </xf>
    <xf numFmtId="0" fontId="9" fillId="0" borderId="35" xfId="1" applyFont="1" applyBorder="1" applyAlignment="1" applyProtection="1">
      <alignment horizontal="center" vertical="center"/>
      <protection hidden="1"/>
    </xf>
    <xf numFmtId="0" fontId="4" fillId="0" borderId="35" xfId="1" applyFont="1" applyBorder="1" applyAlignment="1" applyProtection="1">
      <alignment horizontal="center" vertical="center"/>
      <protection hidden="1"/>
    </xf>
    <xf numFmtId="0" fontId="4" fillId="0" borderId="42" xfId="1" applyFont="1" applyBorder="1" applyAlignment="1" applyProtection="1">
      <alignment horizontal="center" vertical="center"/>
      <protection hidden="1"/>
    </xf>
    <xf numFmtId="0" fontId="1" fillId="0" borderId="43" xfId="1" applyBorder="1" applyAlignment="1" applyProtection="1">
      <alignment horizontal="center" vertical="center"/>
      <protection hidden="1"/>
    </xf>
    <xf numFmtId="0" fontId="15" fillId="5" borderId="45" xfId="1" applyFont="1" applyFill="1" applyBorder="1" applyAlignment="1" applyProtection="1">
      <alignment horizontal="center" vertical="center"/>
      <protection hidden="1"/>
    </xf>
    <xf numFmtId="0" fontId="4" fillId="10" borderId="45" xfId="1" applyFont="1" applyFill="1" applyBorder="1" applyAlignment="1" applyProtection="1">
      <alignment horizontal="center" vertical="center"/>
      <protection hidden="1"/>
    </xf>
    <xf numFmtId="0" fontId="16" fillId="0" borderId="46" xfId="1" applyFont="1" applyBorder="1" applyAlignment="1" applyProtection="1">
      <alignment horizontal="center" vertical="center"/>
      <protection hidden="1"/>
    </xf>
    <xf numFmtId="0" fontId="16" fillId="0" borderId="47" xfId="1" applyFont="1" applyBorder="1" applyAlignment="1" applyProtection="1">
      <alignment horizontal="center" vertical="center"/>
      <protection hidden="1"/>
    </xf>
    <xf numFmtId="0" fontId="4" fillId="0" borderId="48" xfId="1" applyFont="1" applyBorder="1" applyAlignment="1" applyProtection="1">
      <alignment horizontal="center" vertical="center"/>
      <protection hidden="1"/>
    </xf>
    <xf numFmtId="0" fontId="4" fillId="0" borderId="47" xfId="1" applyFont="1" applyBorder="1" applyAlignment="1" applyProtection="1">
      <alignment horizontal="center" vertical="center"/>
      <protection hidden="1"/>
    </xf>
    <xf numFmtId="0" fontId="1" fillId="0" borderId="47" xfId="1" applyBorder="1" applyAlignment="1" applyProtection="1">
      <alignment horizontal="center" vertical="center"/>
      <protection hidden="1"/>
    </xf>
    <xf numFmtId="0" fontId="1" fillId="0" borderId="46" xfId="1" applyBorder="1" applyAlignment="1" applyProtection="1">
      <alignment horizontal="center" vertical="center"/>
      <protection hidden="1"/>
    </xf>
    <xf numFmtId="0" fontId="9" fillId="0" borderId="47" xfId="1" applyFont="1" applyBorder="1" applyAlignment="1" applyProtection="1">
      <alignment horizontal="center" vertical="center"/>
      <protection hidden="1"/>
    </xf>
    <xf numFmtId="0" fontId="1" fillId="0" borderId="49" xfId="1" applyBorder="1" applyAlignment="1" applyProtection="1">
      <alignment horizontal="center" vertical="center"/>
      <protection hidden="1"/>
    </xf>
    <xf numFmtId="0" fontId="4" fillId="10" borderId="50" xfId="1" applyFont="1" applyFill="1" applyBorder="1" applyAlignment="1" applyProtection="1">
      <alignment horizontal="center" vertical="center"/>
      <protection hidden="1"/>
    </xf>
    <xf numFmtId="0" fontId="1" fillId="9" borderId="51" xfId="1" applyFill="1" applyBorder="1" applyAlignment="1">
      <alignment horizontal="center" vertical="center"/>
    </xf>
    <xf numFmtId="0" fontId="1" fillId="9" borderId="52" xfId="1" applyFill="1" applyBorder="1" applyAlignment="1">
      <alignment horizontal="center" vertical="center"/>
    </xf>
    <xf numFmtId="0" fontId="1" fillId="9" borderId="53" xfId="1" applyFill="1" applyBorder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1" fillId="0" borderId="8" xfId="1" applyBorder="1" applyAlignment="1" applyProtection="1">
      <alignment horizontal="center" vertical="center"/>
      <protection hidden="1"/>
    </xf>
    <xf numFmtId="0" fontId="1" fillId="0" borderId="8" xfId="1" applyBorder="1" applyAlignment="1">
      <alignment horizontal="center" vertical="center"/>
    </xf>
    <xf numFmtId="0" fontId="13" fillId="6" borderId="54" xfId="1" applyFont="1" applyFill="1" applyBorder="1" applyAlignment="1" applyProtection="1">
      <alignment horizontal="center" vertical="center"/>
      <protection hidden="1"/>
    </xf>
    <xf numFmtId="0" fontId="4" fillId="7" borderId="55" xfId="1" applyFont="1" applyFill="1" applyBorder="1" applyAlignment="1" applyProtection="1">
      <alignment horizontal="center" vertical="center"/>
      <protection hidden="1"/>
    </xf>
    <xf numFmtId="0" fontId="4" fillId="0" borderId="55" xfId="1" applyFont="1" applyBorder="1" applyAlignment="1" applyProtection="1">
      <alignment horizontal="center" vertical="center"/>
      <protection hidden="1"/>
    </xf>
    <xf numFmtId="0" fontId="15" fillId="5" borderId="24" xfId="1" applyFont="1" applyFill="1" applyBorder="1" applyAlignment="1" applyProtection="1">
      <alignment horizontal="center" vertical="center"/>
      <protection hidden="1"/>
    </xf>
    <xf numFmtId="0" fontId="1" fillId="10" borderId="27" xfId="1" applyFill="1" applyBorder="1" applyAlignment="1" applyProtection="1">
      <alignment horizontal="center" vertical="center"/>
      <protection hidden="1"/>
    </xf>
    <xf numFmtId="0" fontId="9" fillId="10" borderId="27" xfId="1" applyFont="1" applyFill="1" applyBorder="1" applyAlignment="1" applyProtection="1">
      <alignment horizontal="center" vertical="center"/>
      <protection hidden="1"/>
    </xf>
    <xf numFmtId="0" fontId="4" fillId="10" borderId="36" xfId="1" applyFont="1" applyFill="1" applyBorder="1" applyAlignment="1" applyProtection="1">
      <alignment horizontal="center" vertical="center"/>
      <protection hidden="1"/>
    </xf>
    <xf numFmtId="0" fontId="4" fillId="0" borderId="44" xfId="1" applyFont="1" applyBorder="1" applyAlignment="1" applyProtection="1">
      <alignment horizontal="center" vertical="center"/>
      <protection hidden="1"/>
    </xf>
    <xf numFmtId="0" fontId="1" fillId="0" borderId="56" xfId="1" applyBorder="1" applyAlignment="1" applyProtection="1">
      <alignment horizontal="center" vertical="center"/>
      <protection hidden="1"/>
    </xf>
    <xf numFmtId="0" fontId="4" fillId="0" borderId="50" xfId="1" applyFont="1" applyBorder="1" applyAlignment="1" applyProtection="1">
      <alignment horizontal="center" vertical="center"/>
      <protection hidden="1"/>
    </xf>
    <xf numFmtId="0" fontId="1" fillId="10" borderId="47" xfId="1" applyFill="1" applyBorder="1" applyAlignment="1" applyProtection="1">
      <alignment horizontal="center" vertical="center"/>
      <protection hidden="1"/>
    </xf>
    <xf numFmtId="0" fontId="9" fillId="10" borderId="47" xfId="1" applyFont="1" applyFill="1" applyBorder="1" applyAlignment="1" applyProtection="1">
      <alignment horizontal="center" vertical="center"/>
      <protection hidden="1"/>
    </xf>
    <xf numFmtId="0" fontId="4" fillId="10" borderId="48" xfId="1" applyFont="1" applyFill="1" applyBorder="1" applyAlignment="1" applyProtection="1">
      <alignment horizontal="center" vertical="center"/>
      <protection hidden="1"/>
    </xf>
    <xf numFmtId="0" fontId="4" fillId="11" borderId="24" xfId="1" applyFont="1" applyFill="1" applyBorder="1" applyAlignment="1" applyProtection="1">
      <alignment horizontal="center" vertical="center"/>
      <protection hidden="1"/>
    </xf>
    <xf numFmtId="0" fontId="16" fillId="0" borderId="49" xfId="1" applyFont="1" applyBorder="1" applyAlignment="1" applyProtection="1">
      <alignment horizontal="center" vertical="center"/>
      <protection hidden="1"/>
    </xf>
    <xf numFmtId="0" fontId="13" fillId="6" borderId="57" xfId="1" applyFont="1" applyFill="1" applyBorder="1" applyAlignment="1" applyProtection="1">
      <alignment horizontal="center" vertical="center"/>
      <protection hidden="1"/>
    </xf>
    <xf numFmtId="0" fontId="4" fillId="0" borderId="58" xfId="1" applyFont="1" applyBorder="1" applyAlignment="1" applyProtection="1">
      <alignment horizontal="center" vertical="center"/>
      <protection hidden="1"/>
    </xf>
    <xf numFmtId="0" fontId="4" fillId="0" borderId="59" xfId="1" applyFont="1" applyBorder="1" applyAlignment="1" applyProtection="1">
      <alignment horizontal="center" vertical="center"/>
      <protection hidden="1"/>
    </xf>
    <xf numFmtId="0" fontId="4" fillId="0" borderId="60" xfId="1" applyFont="1" applyBorder="1" applyAlignment="1" applyProtection="1">
      <alignment horizontal="center" vertical="center"/>
      <protection hidden="1"/>
    </xf>
    <xf numFmtId="0" fontId="4" fillId="10" borderId="60" xfId="1" applyFont="1" applyFill="1" applyBorder="1" applyAlignment="1" applyProtection="1">
      <alignment horizontal="center" vertical="center"/>
      <protection hidden="1"/>
    </xf>
    <xf numFmtId="0" fontId="4" fillId="10" borderId="61" xfId="1" applyFont="1" applyFill="1" applyBorder="1" applyAlignment="1" applyProtection="1">
      <alignment horizontal="center" vertical="center"/>
      <protection hidden="1"/>
    </xf>
    <xf numFmtId="0" fontId="4" fillId="0" borderId="62" xfId="1" applyFont="1" applyBorder="1" applyAlignment="1" applyProtection="1">
      <alignment horizontal="center" vertical="center"/>
      <protection hidden="1"/>
    </xf>
    <xf numFmtId="0" fontId="4" fillId="7" borderId="58" xfId="1" applyFont="1" applyFill="1" applyBorder="1" applyAlignment="1" applyProtection="1">
      <alignment horizontal="center" vertical="center"/>
      <protection hidden="1"/>
    </xf>
    <xf numFmtId="0" fontId="4" fillId="7" borderId="59" xfId="1" applyFont="1" applyFill="1" applyBorder="1" applyAlignment="1" applyProtection="1">
      <alignment horizontal="center" vertical="center"/>
      <protection hidden="1"/>
    </xf>
    <xf numFmtId="0" fontId="4" fillId="7" borderId="60" xfId="1" applyFont="1" applyFill="1" applyBorder="1" applyAlignment="1" applyProtection="1">
      <alignment horizontal="center" vertical="center"/>
      <protection hidden="1"/>
    </xf>
    <xf numFmtId="0" fontId="17" fillId="0" borderId="49" xfId="1" applyFont="1" applyBorder="1" applyAlignment="1" applyProtection="1">
      <alignment horizontal="center" vertical="center"/>
      <protection hidden="1"/>
    </xf>
    <xf numFmtId="0" fontId="1" fillId="0" borderId="7" xfId="1" applyBorder="1" applyAlignment="1">
      <alignment horizontal="center" vertical="center"/>
    </xf>
    <xf numFmtId="0" fontId="4" fillId="0" borderId="61" xfId="1" applyFont="1" applyBorder="1" applyAlignment="1" applyProtection="1">
      <alignment horizontal="center" vertical="center"/>
      <protection hidden="1"/>
    </xf>
    <xf numFmtId="0" fontId="9" fillId="7" borderId="20" xfId="1" applyFont="1" applyFill="1" applyBorder="1" applyAlignment="1" applyProtection="1">
      <alignment horizontal="center" vertical="center"/>
      <protection hidden="1"/>
    </xf>
    <xf numFmtId="0" fontId="16" fillId="0" borderId="49" xfId="1" applyFont="1" applyBorder="1" applyAlignment="1" applyProtection="1">
      <alignment vertical="center"/>
      <protection hidden="1"/>
    </xf>
    <xf numFmtId="0" fontId="1" fillId="0" borderId="64" xfId="1" applyBorder="1" applyAlignment="1">
      <alignment horizontal="center" vertical="center"/>
    </xf>
    <xf numFmtId="0" fontId="1" fillId="0" borderId="65" xfId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66" xfId="1" applyBorder="1" applyAlignment="1">
      <alignment horizontal="center" vertical="center"/>
    </xf>
    <xf numFmtId="0" fontId="1" fillId="0" borderId="67" xfId="1" applyBorder="1" applyAlignment="1">
      <alignment horizontal="center" vertical="center"/>
    </xf>
    <xf numFmtId="0" fontId="1" fillId="0" borderId="8" xfId="1" applyBorder="1" applyAlignment="1">
      <alignment horizontal="left" vertical="center"/>
    </xf>
    <xf numFmtId="0" fontId="1" fillId="0" borderId="68" xfId="1" applyBorder="1" applyAlignment="1">
      <alignment horizontal="center" vertical="center"/>
    </xf>
    <xf numFmtId="0" fontId="15" fillId="9" borderId="75" xfId="1" applyFont="1" applyFill="1" applyBorder="1" applyAlignment="1" applyProtection="1">
      <alignment horizontal="center" vertical="center"/>
      <protection hidden="1"/>
    </xf>
    <xf numFmtId="0" fontId="15" fillId="9" borderId="100" xfId="1" applyFont="1" applyFill="1" applyBorder="1" applyAlignment="1" applyProtection="1">
      <alignment horizontal="center" vertical="center"/>
      <protection hidden="1"/>
    </xf>
    <xf numFmtId="0" fontId="15" fillId="9" borderId="87" xfId="1" applyFont="1" applyFill="1" applyBorder="1" applyAlignment="1" applyProtection="1">
      <alignment horizontal="center" vertical="center"/>
      <protection hidden="1"/>
    </xf>
    <xf numFmtId="0" fontId="3" fillId="0" borderId="0" xfId="1" applyFont="1" applyAlignment="1">
      <alignment horizontal="center" vertical="center"/>
    </xf>
    <xf numFmtId="0" fontId="1" fillId="8" borderId="0" xfId="1" applyFill="1" applyAlignment="1">
      <alignment horizontal="center" vertical="center"/>
    </xf>
    <xf numFmtId="0" fontId="1" fillId="12" borderId="0" xfId="1" applyFill="1" applyAlignment="1">
      <alignment horizontal="center" vertical="center"/>
    </xf>
    <xf numFmtId="0" fontId="17" fillId="0" borderId="47" xfId="1" applyFont="1" applyBorder="1" applyAlignment="1" applyProtection="1">
      <alignment horizontal="center" vertical="center"/>
      <protection hidden="1"/>
    </xf>
    <xf numFmtId="0" fontId="18" fillId="13" borderId="14" xfId="1" applyFont="1" applyFill="1" applyBorder="1" applyAlignment="1">
      <alignment horizontal="center" vertical="center"/>
    </xf>
    <xf numFmtId="0" fontId="19" fillId="0" borderId="20" xfId="1" applyFont="1" applyBorder="1" applyAlignment="1" applyProtection="1">
      <alignment horizontal="center" vertical="center"/>
      <protection hidden="1"/>
    </xf>
    <xf numFmtId="0" fontId="1" fillId="0" borderId="0" xfId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0" fontId="1" fillId="9" borderId="64" xfId="1" applyFill="1" applyBorder="1" applyAlignment="1">
      <alignment horizontal="center" vertical="center"/>
    </xf>
    <xf numFmtId="0" fontId="1" fillId="9" borderId="65" xfId="1" applyFill="1" applyBorder="1" applyAlignment="1">
      <alignment horizontal="center" vertical="center"/>
    </xf>
    <xf numFmtId="0" fontId="1" fillId="9" borderId="0" xfId="1" applyFill="1" applyAlignment="1">
      <alignment horizontal="center" vertical="center"/>
    </xf>
    <xf numFmtId="0" fontId="1" fillId="9" borderId="66" xfId="1" applyFill="1" applyBorder="1" applyAlignment="1">
      <alignment horizontal="center" vertical="center"/>
    </xf>
    <xf numFmtId="0" fontId="1" fillId="9" borderId="8" xfId="1" applyFill="1" applyBorder="1" applyAlignment="1">
      <alignment horizontal="center" vertical="center"/>
    </xf>
    <xf numFmtId="0" fontId="1" fillId="9" borderId="68" xfId="1" applyFill="1" applyBorder="1" applyAlignment="1">
      <alignment horizontal="center" vertical="center"/>
    </xf>
    <xf numFmtId="0" fontId="8" fillId="0" borderId="0" xfId="1" applyFont="1" applyAlignment="1" applyProtection="1">
      <alignment horizontal="center" vertical="center"/>
      <protection hidden="1"/>
    </xf>
    <xf numFmtId="0" fontId="11" fillId="0" borderId="8" xfId="1" applyFont="1" applyBorder="1" applyAlignment="1" applyProtection="1">
      <alignment horizontal="center" vertical="center"/>
      <protection hidden="1"/>
    </xf>
    <xf numFmtId="0" fontId="5" fillId="4" borderId="0" xfId="1" quotePrefix="1" applyFont="1" applyFill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right" vertical="center"/>
      <protection hidden="1"/>
    </xf>
    <xf numFmtId="0" fontId="3" fillId="0" borderId="63" xfId="1" applyFont="1" applyBorder="1" applyAlignment="1">
      <alignment horizontal="center" vertical="center"/>
    </xf>
    <xf numFmtId="0" fontId="3" fillId="0" borderId="64" xfId="1" applyFont="1" applyBorder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0" fontId="1" fillId="0" borderId="0" xfId="1" applyAlignment="1">
      <alignment horizontal="left" vertical="center"/>
    </xf>
    <xf numFmtId="164" fontId="1" fillId="0" borderId="8" xfId="1" applyNumberFormat="1" applyBorder="1" applyAlignment="1">
      <alignment horizontal="center" vertical="center"/>
    </xf>
    <xf numFmtId="0" fontId="1" fillId="0" borderId="8" xfId="1" applyBorder="1" applyAlignment="1">
      <alignment horizontal="left" vertical="center"/>
    </xf>
    <xf numFmtId="0" fontId="3" fillId="0" borderId="65" xfId="1" applyFont="1" applyBorder="1" applyAlignment="1">
      <alignment horizontal="center" vertical="center"/>
    </xf>
    <xf numFmtId="0" fontId="1" fillId="9" borderId="69" xfId="1" applyFill="1" applyBorder="1" applyAlignment="1">
      <alignment horizontal="center" vertical="center"/>
    </xf>
    <xf numFmtId="0" fontId="1" fillId="9" borderId="83" xfId="1" applyFill="1" applyBorder="1" applyAlignment="1">
      <alignment horizontal="center" vertical="center"/>
    </xf>
    <xf numFmtId="0" fontId="1" fillId="9" borderId="70" xfId="1" applyFill="1" applyBorder="1" applyAlignment="1">
      <alignment horizontal="center" vertical="center"/>
    </xf>
    <xf numFmtId="0" fontId="1" fillId="9" borderId="71" xfId="1" applyFill="1" applyBorder="1" applyAlignment="1">
      <alignment horizontal="center" vertical="center"/>
    </xf>
    <xf numFmtId="0" fontId="1" fillId="9" borderId="72" xfId="1" applyFill="1" applyBorder="1" applyAlignment="1">
      <alignment horizontal="center" vertical="center"/>
    </xf>
    <xf numFmtId="0" fontId="1" fillId="9" borderId="73" xfId="1" applyFill="1" applyBorder="1" applyAlignment="1">
      <alignment horizontal="center" vertical="center"/>
    </xf>
    <xf numFmtId="0" fontId="1" fillId="9" borderId="74" xfId="1" applyFill="1" applyBorder="1" applyAlignment="1">
      <alignment horizontal="center" vertical="center"/>
    </xf>
    <xf numFmtId="0" fontId="1" fillId="9" borderId="84" xfId="1" applyFill="1" applyBorder="1" applyAlignment="1">
      <alignment horizontal="center" vertical="center"/>
    </xf>
    <xf numFmtId="0" fontId="1" fillId="9" borderId="85" xfId="1" applyFill="1" applyBorder="1" applyAlignment="1">
      <alignment horizontal="center" vertical="center"/>
    </xf>
    <xf numFmtId="0" fontId="1" fillId="9" borderId="87" xfId="1" applyFill="1" applyBorder="1" applyAlignment="1">
      <alignment horizontal="center" vertical="center"/>
    </xf>
    <xf numFmtId="0" fontId="1" fillId="9" borderId="88" xfId="1" applyFill="1" applyBorder="1" applyAlignment="1">
      <alignment horizontal="center" vertical="center"/>
    </xf>
    <xf numFmtId="0" fontId="1" fillId="9" borderId="77" xfId="1" applyFill="1" applyBorder="1" applyAlignment="1">
      <alignment horizontal="center" vertical="center"/>
    </xf>
    <xf numFmtId="0" fontId="1" fillId="9" borderId="78" xfId="1" applyFill="1" applyBorder="1" applyAlignment="1">
      <alignment horizontal="center" vertical="center"/>
    </xf>
    <xf numFmtId="0" fontId="1" fillId="9" borderId="82" xfId="1" applyFill="1" applyBorder="1" applyAlignment="1">
      <alignment horizontal="center" vertical="center"/>
    </xf>
    <xf numFmtId="0" fontId="1" fillId="9" borderId="75" xfId="1" applyFill="1" applyBorder="1" applyAlignment="1">
      <alignment horizontal="center" vertical="center"/>
    </xf>
    <xf numFmtId="0" fontId="1" fillId="9" borderId="76" xfId="1" applyFill="1" applyBorder="1" applyAlignment="1">
      <alignment horizontal="center" vertical="center"/>
    </xf>
    <xf numFmtId="0" fontId="1" fillId="9" borderId="79" xfId="1" applyFill="1" applyBorder="1" applyAlignment="1">
      <alignment horizontal="center" vertical="center"/>
    </xf>
    <xf numFmtId="0" fontId="1" fillId="9" borderId="80" xfId="1" applyFill="1" applyBorder="1" applyAlignment="1">
      <alignment horizontal="center" vertical="center"/>
    </xf>
    <xf numFmtId="0" fontId="1" fillId="9" borderId="81" xfId="1" applyFill="1" applyBorder="1" applyAlignment="1">
      <alignment horizontal="center" vertical="center"/>
    </xf>
    <xf numFmtId="0" fontId="1" fillId="9" borderId="86" xfId="1" applyFill="1" applyBorder="1" applyAlignment="1">
      <alignment horizontal="center" vertical="center"/>
    </xf>
    <xf numFmtId="0" fontId="1" fillId="9" borderId="93" xfId="1" applyFill="1" applyBorder="1" applyAlignment="1">
      <alignment horizontal="center" vertical="center"/>
    </xf>
    <xf numFmtId="0" fontId="1" fillId="9" borderId="94" xfId="1" applyFill="1" applyBorder="1" applyAlignment="1">
      <alignment horizontal="center" vertical="center"/>
    </xf>
    <xf numFmtId="0" fontId="1" fillId="9" borderId="95" xfId="1" applyFill="1" applyBorder="1" applyAlignment="1">
      <alignment horizontal="center" vertical="center"/>
    </xf>
    <xf numFmtId="0" fontId="1" fillId="9" borderId="96" xfId="1" applyFill="1" applyBorder="1" applyAlignment="1">
      <alignment horizontal="center" vertical="center"/>
    </xf>
    <xf numFmtId="0" fontId="1" fillId="9" borderId="97" xfId="1" applyFill="1" applyBorder="1" applyAlignment="1">
      <alignment horizontal="center" vertical="center"/>
    </xf>
    <xf numFmtId="0" fontId="1" fillId="9" borderId="98" xfId="1" applyFill="1" applyBorder="1" applyAlignment="1">
      <alignment horizontal="center" vertical="center"/>
    </xf>
    <xf numFmtId="0" fontId="1" fillId="9" borderId="99" xfId="1" applyFill="1" applyBorder="1" applyAlignment="1">
      <alignment horizontal="center" vertical="center"/>
    </xf>
    <xf numFmtId="0" fontId="1" fillId="9" borderId="92" xfId="1" applyFill="1" applyBorder="1" applyAlignment="1">
      <alignment horizontal="center" vertical="center"/>
    </xf>
    <xf numFmtId="0" fontId="1" fillId="9" borderId="89" xfId="1" applyFill="1" applyBorder="1" applyAlignment="1">
      <alignment horizontal="center" vertical="center"/>
    </xf>
    <xf numFmtId="0" fontId="1" fillId="9" borderId="90" xfId="1" applyFill="1" applyBorder="1" applyAlignment="1">
      <alignment horizontal="center" vertical="center"/>
    </xf>
    <xf numFmtId="0" fontId="1" fillId="9" borderId="91" xfId="1" applyFill="1" applyBorder="1" applyAlignment="1">
      <alignment horizontal="center" vertical="center"/>
    </xf>
    <xf numFmtId="0" fontId="1" fillId="9" borderId="104" xfId="1" applyFill="1" applyBorder="1" applyAlignment="1">
      <alignment horizontal="center" vertical="center"/>
    </xf>
    <xf numFmtId="0" fontId="1" fillId="9" borderId="102" xfId="1" applyFill="1" applyBorder="1" applyAlignment="1">
      <alignment horizontal="center" vertical="center"/>
    </xf>
    <xf numFmtId="0" fontId="1" fillId="9" borderId="100" xfId="1" applyFill="1" applyBorder="1" applyAlignment="1">
      <alignment horizontal="center" vertical="center"/>
    </xf>
    <xf numFmtId="0" fontId="1" fillId="9" borderId="103" xfId="1" applyFill="1" applyBorder="1" applyAlignment="1">
      <alignment horizontal="center" vertical="center"/>
    </xf>
    <xf numFmtId="0" fontId="1" fillId="9" borderId="105" xfId="1" applyFill="1" applyBorder="1" applyAlignment="1">
      <alignment horizontal="center" vertical="center"/>
    </xf>
    <xf numFmtId="0" fontId="1" fillId="9" borderId="101" xfId="1" applyFill="1" applyBorder="1" applyAlignment="1">
      <alignment horizontal="center" vertical="center"/>
    </xf>
    <xf numFmtId="0" fontId="1" fillId="9" borderId="106" xfId="1" applyFill="1" applyBorder="1" applyAlignment="1">
      <alignment horizontal="center" vertical="center"/>
    </xf>
    <xf numFmtId="0" fontId="1" fillId="9" borderId="108" xfId="1" applyFill="1" applyBorder="1" applyAlignment="1">
      <alignment horizontal="center" vertical="center"/>
    </xf>
    <xf numFmtId="0" fontId="1" fillId="9" borderId="107" xfId="1" applyFill="1" applyBorder="1" applyAlignment="1">
      <alignment horizontal="center" vertical="center"/>
    </xf>
    <xf numFmtId="0" fontId="1" fillId="9" borderId="109" xfId="1" applyFill="1" applyBorder="1" applyAlignment="1">
      <alignment horizontal="center" vertical="center"/>
    </xf>
    <xf numFmtId="0" fontId="1" fillId="0" borderId="27" xfId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_CAL-A4" xfId="1" xr:uid="{53CF39A5-54C8-457A-9705-6DF0AFB1435B}"/>
  </cellStyles>
  <dxfs count="254"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ont>
        <b/>
        <i val="0"/>
        <condense val="0"/>
        <extend val="0"/>
      </font>
      <fill>
        <patternFill>
          <bgColor indexed="51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Planed DD</c:v>
          </c:tx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2025'!$I$127:$I$129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2226-47D9-B2D5-8420EAF4B1C0}"/>
            </c:ext>
          </c:extLst>
        </c:ser>
        <c:ser>
          <c:idx val="1"/>
          <c:order val="1"/>
          <c:tx>
            <c:strRef>
              <c:f>'Calendar 2025'!$J$126</c:f>
              <c:strCache>
                <c:ptCount val="1"/>
              </c:strCache>
            </c:strRef>
          </c:tx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2025'!$J$127:$J$129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2226-47D9-B2D5-8420EAF4B1C0}"/>
            </c:ext>
          </c:extLst>
        </c:ser>
        <c:ser>
          <c:idx val="2"/>
          <c:order val="2"/>
          <c:tx>
            <c:v>Available DD</c:v>
          </c:tx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2025'!$AF$127:$AF$129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2226-47D9-B2D5-8420EAF4B1C0}"/>
            </c:ext>
          </c:extLst>
        </c:ser>
        <c:ser>
          <c:idx val="3"/>
          <c:order val="3"/>
          <c:tx>
            <c:strRef>
              <c:f>'Calendar 2025'!$AG$126</c:f>
              <c:strCache>
                <c:ptCount val="1"/>
              </c:strCache>
            </c:strRef>
          </c:tx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2025'!$AG$127:$AG$129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2226-47D9-B2D5-8420EAF4B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95840512"/>
        <c:axId val="95850496"/>
        <c:axId val="0"/>
      </c:bar3DChart>
      <c:catAx>
        <c:axId val="9584051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95850496"/>
        <c:crosses val="autoZero"/>
        <c:auto val="1"/>
        <c:lblAlgn val="ctr"/>
        <c:lblOffset val="100"/>
        <c:noMultiLvlLbl val="0"/>
      </c:catAx>
      <c:valAx>
        <c:axId val="9585049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95840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Planed - 14</c:v>
          </c:tx>
          <c:spPr>
            <a:solidFill>
              <a:schemeClr val="tx2"/>
            </a:solidFill>
          </c:spPr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2025'!$E$127:$E$129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CA92-43AE-A39F-DF2FEAF6F39A}"/>
            </c:ext>
          </c:extLst>
        </c:ser>
        <c:ser>
          <c:idx val="1"/>
          <c:order val="1"/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2025'!$F$127:$F$129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CA92-43AE-A39F-DF2FEAF6F39A}"/>
            </c:ext>
          </c:extLst>
        </c:ser>
        <c:ser>
          <c:idx val="2"/>
          <c:order val="2"/>
          <c:tx>
            <c:v>Paned 15</c:v>
          </c:tx>
          <c:spPr>
            <a:solidFill>
              <a:schemeClr val="accent1"/>
            </a:solidFill>
          </c:spPr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2025'!$G$127:$G$129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CA92-43AE-A39F-DF2FEAF6F39A}"/>
            </c:ext>
          </c:extLst>
        </c:ser>
        <c:ser>
          <c:idx val="3"/>
          <c:order val="3"/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2025'!$H$127:$H$129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CA92-43AE-A39F-DF2FEAF6F39A}"/>
            </c:ext>
          </c:extLst>
        </c:ser>
        <c:ser>
          <c:idx val="4"/>
          <c:order val="4"/>
          <c:tx>
            <c:v>Left 14</c:v>
          </c:tx>
          <c:spPr>
            <a:solidFill>
              <a:srgbClr val="92D050"/>
            </a:solidFill>
          </c:spPr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2025'!$AB$127:$AB$129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CA92-43AE-A39F-DF2FEAF6F39A}"/>
            </c:ext>
          </c:extLst>
        </c:ser>
        <c:ser>
          <c:idx val="5"/>
          <c:order val="5"/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2025'!$AC$127:$AC$129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5-CA92-43AE-A39F-DF2FEAF6F39A}"/>
            </c:ext>
          </c:extLst>
        </c:ser>
        <c:ser>
          <c:idx val="6"/>
          <c:order val="6"/>
          <c:tx>
            <c:v>Left 15</c:v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2025'!$AD$127:$AD$129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CA92-43AE-A39F-DF2FEAF6F39A}"/>
            </c:ext>
          </c:extLst>
        </c:ser>
        <c:ser>
          <c:idx val="7"/>
          <c:order val="7"/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2025'!$AE$127:$AE$129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CA92-43AE-A39F-DF2FEAF6F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95970048"/>
        <c:axId val="95971584"/>
        <c:axId val="0"/>
      </c:bar3DChart>
      <c:catAx>
        <c:axId val="9597004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95971584"/>
        <c:crosses val="autoZero"/>
        <c:auto val="1"/>
        <c:lblAlgn val="ctr"/>
        <c:lblOffset val="100"/>
        <c:noMultiLvlLbl val="0"/>
      </c:catAx>
      <c:valAx>
        <c:axId val="959715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95970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Planed DD</c:v>
          </c:tx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2025'!$I$127:$I$129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1BCB-4ED4-A67B-DF080B440CE2}"/>
            </c:ext>
          </c:extLst>
        </c:ser>
        <c:ser>
          <c:idx val="1"/>
          <c:order val="1"/>
          <c:tx>
            <c:strRef>
              <c:f>'Calendar 2025'!$J$126</c:f>
              <c:strCache>
                <c:ptCount val="1"/>
              </c:strCache>
            </c:strRef>
          </c:tx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2025'!$J$127:$J$129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1BCB-4ED4-A67B-DF080B440CE2}"/>
            </c:ext>
          </c:extLst>
        </c:ser>
        <c:ser>
          <c:idx val="2"/>
          <c:order val="2"/>
          <c:tx>
            <c:v>Available DD</c:v>
          </c:tx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2025'!$AF$127:$AF$129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1BCB-4ED4-A67B-DF080B440CE2}"/>
            </c:ext>
          </c:extLst>
        </c:ser>
        <c:ser>
          <c:idx val="3"/>
          <c:order val="3"/>
          <c:tx>
            <c:strRef>
              <c:f>'Calendar 2025'!$AG$126</c:f>
              <c:strCache>
                <c:ptCount val="1"/>
              </c:strCache>
            </c:strRef>
          </c:tx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2025'!$AG$127:$AG$129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1BCB-4ED4-A67B-DF080B440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027008"/>
        <c:axId val="96028544"/>
      </c:barChart>
      <c:barChart>
        <c:barDir val="col"/>
        <c:grouping val="stacked"/>
        <c:varyColors val="0"/>
        <c:ser>
          <c:idx val="4"/>
          <c:order val="4"/>
          <c:tx>
            <c:strRef>
              <c:f>'Calendar 2025'!$AK$123</c:f>
              <c:strCache>
                <c:ptCount val="1"/>
              </c:strCache>
            </c:strRef>
          </c:tx>
          <c:invertIfNegative val="0"/>
          <c:val>
            <c:numRef>
              <c:f>'Calendar 2025'!$AQ$127:$AQ$129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1BCB-4ED4-A67B-DF080B440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035968"/>
        <c:axId val="96030080"/>
      </c:barChart>
      <c:catAx>
        <c:axId val="96027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6028544"/>
        <c:crosses val="autoZero"/>
        <c:auto val="1"/>
        <c:lblAlgn val="ctr"/>
        <c:lblOffset val="100"/>
        <c:noMultiLvlLbl val="0"/>
      </c:catAx>
      <c:valAx>
        <c:axId val="96028544"/>
        <c:scaling>
          <c:orientation val="minMax"/>
          <c:max val="3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027008"/>
        <c:crosses val="autoZero"/>
        <c:crossBetween val="between"/>
      </c:valAx>
      <c:valAx>
        <c:axId val="96030080"/>
        <c:scaling>
          <c:orientation val="minMax"/>
          <c:max val="3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crossAx val="96035968"/>
        <c:crosses val="max"/>
        <c:crossBetween val="between"/>
      </c:valAx>
      <c:catAx>
        <c:axId val="96035968"/>
        <c:scaling>
          <c:orientation val="minMax"/>
        </c:scaling>
        <c:delete val="1"/>
        <c:axPos val="b"/>
        <c:majorTickMark val="out"/>
        <c:minorTickMark val="none"/>
        <c:tickLblPos val="nextTo"/>
        <c:crossAx val="9603008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Planed Ferias</c:v>
          </c:tx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2025'!$G$127:$G$129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45EC-423F-956B-F11E3B73C649}"/>
            </c:ext>
          </c:extLst>
        </c:ser>
        <c:ser>
          <c:idx val="1"/>
          <c:order val="1"/>
          <c:tx>
            <c:strRef>
              <c:f>'Calendar 2025'!$J$126</c:f>
              <c:strCache>
                <c:ptCount val="1"/>
              </c:strCache>
            </c:strRef>
          </c:tx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2025'!$J$127:$J$129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45EC-423F-956B-F11E3B73C649}"/>
            </c:ext>
          </c:extLst>
        </c:ser>
        <c:ser>
          <c:idx val="2"/>
          <c:order val="2"/>
          <c:tx>
            <c:v>Available Ferias</c:v>
          </c:tx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2025'!$AD$127:$AD$129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45EC-423F-956B-F11E3B73C649}"/>
            </c:ext>
          </c:extLst>
        </c:ser>
        <c:ser>
          <c:idx val="3"/>
          <c:order val="3"/>
          <c:tx>
            <c:strRef>
              <c:f>'Calendar 2025'!$AG$126</c:f>
              <c:strCache>
                <c:ptCount val="1"/>
              </c:strCache>
            </c:strRef>
          </c:tx>
          <c:invertIfNegative val="0"/>
          <c:cat>
            <c:strRef>
              <c:f>'Calendar 2025'!$B$127:$B$129</c:f>
              <c:strCache>
                <c:ptCount val="3"/>
                <c:pt idx="0">
                  <c:v>Pedro 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2025'!$AG$127:$AG$129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45EC-423F-956B-F11E3B73C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066944"/>
        <c:axId val="96072832"/>
      </c:barChart>
      <c:barChart>
        <c:barDir val="col"/>
        <c:grouping val="stacked"/>
        <c:varyColors val="0"/>
        <c:ser>
          <c:idx val="4"/>
          <c:order val="4"/>
          <c:tx>
            <c:strRef>
              <c:f>'Calendar 2025'!$AK$123</c:f>
              <c:strCache>
                <c:ptCount val="1"/>
              </c:strCache>
            </c:strRef>
          </c:tx>
          <c:invertIfNegative val="0"/>
          <c:val>
            <c:numRef>
              <c:f>'Calendar 2025'!$AO$127:$AO$129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45EC-423F-956B-F11E3B73C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49888"/>
        <c:axId val="96074368"/>
      </c:barChart>
      <c:catAx>
        <c:axId val="96066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6072832"/>
        <c:crosses val="autoZero"/>
        <c:auto val="1"/>
        <c:lblAlgn val="ctr"/>
        <c:lblOffset val="100"/>
        <c:noMultiLvlLbl val="0"/>
      </c:catAx>
      <c:valAx>
        <c:axId val="96072832"/>
        <c:scaling>
          <c:orientation val="minMax"/>
          <c:max val="3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066944"/>
        <c:crosses val="autoZero"/>
        <c:crossBetween val="between"/>
      </c:valAx>
      <c:valAx>
        <c:axId val="96074368"/>
        <c:scaling>
          <c:orientation val="minMax"/>
          <c:max val="3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crossAx val="96149888"/>
        <c:crosses val="max"/>
        <c:crossBetween val="between"/>
      </c:valAx>
      <c:catAx>
        <c:axId val="96149888"/>
        <c:scaling>
          <c:orientation val="minMax"/>
        </c:scaling>
        <c:delete val="1"/>
        <c:axPos val="b"/>
        <c:majorTickMark val="out"/>
        <c:minorTickMark val="none"/>
        <c:tickLblPos val="nextTo"/>
        <c:crossAx val="9607436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Planed DD</c:v>
          </c:tx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2026'!$I$127:$I$129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1918-43A3-B7EB-8A083BEBDA8B}"/>
            </c:ext>
          </c:extLst>
        </c:ser>
        <c:ser>
          <c:idx val="1"/>
          <c:order val="1"/>
          <c:tx>
            <c:strRef>
              <c:f>'Calendar 2026'!$J$126</c:f>
              <c:strCache>
                <c:ptCount val="1"/>
              </c:strCache>
            </c:strRef>
          </c:tx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2026'!$J$127:$J$129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1918-43A3-B7EB-8A083BEBDA8B}"/>
            </c:ext>
          </c:extLst>
        </c:ser>
        <c:ser>
          <c:idx val="2"/>
          <c:order val="2"/>
          <c:tx>
            <c:v>Available DD</c:v>
          </c:tx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2026'!$AF$127:$AF$129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1918-43A3-B7EB-8A083BEBDA8B}"/>
            </c:ext>
          </c:extLst>
        </c:ser>
        <c:ser>
          <c:idx val="3"/>
          <c:order val="3"/>
          <c:tx>
            <c:strRef>
              <c:f>'Calendar 2026'!$AG$126</c:f>
              <c:strCache>
                <c:ptCount val="1"/>
              </c:strCache>
            </c:strRef>
          </c:tx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2026'!$AG$127:$AG$129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1918-43A3-B7EB-8A083BEBD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95840512"/>
        <c:axId val="95850496"/>
        <c:axId val="0"/>
      </c:bar3DChart>
      <c:catAx>
        <c:axId val="9584051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95850496"/>
        <c:crosses val="autoZero"/>
        <c:auto val="1"/>
        <c:lblAlgn val="ctr"/>
        <c:lblOffset val="100"/>
        <c:noMultiLvlLbl val="0"/>
      </c:catAx>
      <c:valAx>
        <c:axId val="9585049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95840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Planed - 14</c:v>
          </c:tx>
          <c:spPr>
            <a:solidFill>
              <a:schemeClr val="tx2"/>
            </a:solidFill>
          </c:spPr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2026'!$E$127:$E$129</c:f>
              <c:numCache>
                <c:formatCode>General</c:formatCode>
                <c:ptCount val="3"/>
                <c:pt idx="0">
                  <c:v>0</c:v>
                </c:pt>
                <c:pt idx="1">
                  <c:v>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A-4E73-B9DC-FBE944B24F16}"/>
            </c:ext>
          </c:extLst>
        </c:ser>
        <c:ser>
          <c:idx val="1"/>
          <c:order val="1"/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2026'!$F$127:$F$129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6F8A-4E73-B9DC-FBE944B24F16}"/>
            </c:ext>
          </c:extLst>
        </c:ser>
        <c:ser>
          <c:idx val="2"/>
          <c:order val="2"/>
          <c:tx>
            <c:v>Paned 15</c:v>
          </c:tx>
          <c:spPr>
            <a:solidFill>
              <a:schemeClr val="accent1"/>
            </a:solidFill>
          </c:spPr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2026'!$G$127:$G$129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6F8A-4E73-B9DC-FBE944B24F16}"/>
            </c:ext>
          </c:extLst>
        </c:ser>
        <c:ser>
          <c:idx val="3"/>
          <c:order val="3"/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2026'!$H$127:$H$129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6F8A-4E73-B9DC-FBE944B24F16}"/>
            </c:ext>
          </c:extLst>
        </c:ser>
        <c:ser>
          <c:idx val="4"/>
          <c:order val="4"/>
          <c:tx>
            <c:v>Left 14</c:v>
          </c:tx>
          <c:spPr>
            <a:solidFill>
              <a:srgbClr val="92D050"/>
            </a:solidFill>
          </c:spPr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2026'!$AB$127:$AB$129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8A-4E73-B9DC-FBE944B24F16}"/>
            </c:ext>
          </c:extLst>
        </c:ser>
        <c:ser>
          <c:idx val="5"/>
          <c:order val="5"/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2026'!$AC$127:$AC$129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5-6F8A-4E73-B9DC-FBE944B24F16}"/>
            </c:ext>
          </c:extLst>
        </c:ser>
        <c:ser>
          <c:idx val="6"/>
          <c:order val="6"/>
          <c:tx>
            <c:v>Left 15</c:v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2026'!$AD$127:$AD$129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6F8A-4E73-B9DC-FBE944B24F16}"/>
            </c:ext>
          </c:extLst>
        </c:ser>
        <c:ser>
          <c:idx val="7"/>
          <c:order val="7"/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2026'!$AE$127:$AE$129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6F8A-4E73-B9DC-FBE944B24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95970048"/>
        <c:axId val="95971584"/>
        <c:axId val="0"/>
      </c:bar3DChart>
      <c:catAx>
        <c:axId val="9597004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95971584"/>
        <c:crosses val="autoZero"/>
        <c:auto val="1"/>
        <c:lblAlgn val="ctr"/>
        <c:lblOffset val="100"/>
        <c:noMultiLvlLbl val="0"/>
      </c:catAx>
      <c:valAx>
        <c:axId val="959715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95970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Planed DD</c:v>
          </c:tx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2026'!$I$127:$I$129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D8E3-4F73-A416-DBBB7788322E}"/>
            </c:ext>
          </c:extLst>
        </c:ser>
        <c:ser>
          <c:idx val="1"/>
          <c:order val="1"/>
          <c:tx>
            <c:strRef>
              <c:f>'Calendar 2026'!$J$126</c:f>
              <c:strCache>
                <c:ptCount val="1"/>
              </c:strCache>
            </c:strRef>
          </c:tx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2026'!$J$127:$J$129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D8E3-4F73-A416-DBBB7788322E}"/>
            </c:ext>
          </c:extLst>
        </c:ser>
        <c:ser>
          <c:idx val="2"/>
          <c:order val="2"/>
          <c:tx>
            <c:v>Available DD</c:v>
          </c:tx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2026'!$AF$127:$AF$129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D8E3-4F73-A416-DBBB7788322E}"/>
            </c:ext>
          </c:extLst>
        </c:ser>
        <c:ser>
          <c:idx val="3"/>
          <c:order val="3"/>
          <c:tx>
            <c:strRef>
              <c:f>'Calendar 2026'!$AG$126</c:f>
              <c:strCache>
                <c:ptCount val="1"/>
              </c:strCache>
            </c:strRef>
          </c:tx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2026'!$AG$127:$AG$129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D8E3-4F73-A416-DBBB77883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027008"/>
        <c:axId val="96028544"/>
      </c:barChart>
      <c:barChart>
        <c:barDir val="col"/>
        <c:grouping val="stacked"/>
        <c:varyColors val="0"/>
        <c:ser>
          <c:idx val="4"/>
          <c:order val="4"/>
          <c:tx>
            <c:strRef>
              <c:f>'Calendar 2026'!$AK$123</c:f>
              <c:strCache>
                <c:ptCount val="1"/>
              </c:strCache>
            </c:strRef>
          </c:tx>
          <c:invertIfNegative val="0"/>
          <c:val>
            <c:numRef>
              <c:f>'Calendar 2026'!$AQ$127:$AQ$129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D8E3-4F73-A416-DBBB77883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035968"/>
        <c:axId val="96030080"/>
      </c:barChart>
      <c:catAx>
        <c:axId val="96027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6028544"/>
        <c:crosses val="autoZero"/>
        <c:auto val="1"/>
        <c:lblAlgn val="ctr"/>
        <c:lblOffset val="100"/>
        <c:noMultiLvlLbl val="0"/>
      </c:catAx>
      <c:valAx>
        <c:axId val="96028544"/>
        <c:scaling>
          <c:orientation val="minMax"/>
          <c:max val="3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027008"/>
        <c:crosses val="autoZero"/>
        <c:crossBetween val="between"/>
      </c:valAx>
      <c:valAx>
        <c:axId val="96030080"/>
        <c:scaling>
          <c:orientation val="minMax"/>
          <c:max val="3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crossAx val="96035968"/>
        <c:crosses val="max"/>
        <c:crossBetween val="between"/>
      </c:valAx>
      <c:catAx>
        <c:axId val="96035968"/>
        <c:scaling>
          <c:orientation val="minMax"/>
        </c:scaling>
        <c:delete val="1"/>
        <c:axPos val="b"/>
        <c:majorTickMark val="out"/>
        <c:minorTickMark val="none"/>
        <c:tickLblPos val="nextTo"/>
        <c:crossAx val="9603008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Planed Ferias</c:v>
          </c:tx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2026'!$G$127:$G$129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33FE-4931-83B2-1227D863F3D7}"/>
            </c:ext>
          </c:extLst>
        </c:ser>
        <c:ser>
          <c:idx val="1"/>
          <c:order val="1"/>
          <c:tx>
            <c:strRef>
              <c:f>'Calendar 2026'!$J$126</c:f>
              <c:strCache>
                <c:ptCount val="1"/>
              </c:strCache>
            </c:strRef>
          </c:tx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2026'!$J$127:$J$129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33FE-4931-83B2-1227D863F3D7}"/>
            </c:ext>
          </c:extLst>
        </c:ser>
        <c:ser>
          <c:idx val="2"/>
          <c:order val="2"/>
          <c:tx>
            <c:v>Available Ferias</c:v>
          </c:tx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2026'!$AD$127:$AD$129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33FE-4931-83B2-1227D863F3D7}"/>
            </c:ext>
          </c:extLst>
        </c:ser>
        <c:ser>
          <c:idx val="3"/>
          <c:order val="3"/>
          <c:tx>
            <c:strRef>
              <c:f>'Calendar 2026'!$AG$126</c:f>
              <c:strCache>
                <c:ptCount val="1"/>
              </c:strCache>
            </c:strRef>
          </c:tx>
          <c:invertIfNegative val="0"/>
          <c:cat>
            <c:strRef>
              <c:f>'Calendar 2026'!$B$127:$B$129</c:f>
              <c:strCache>
                <c:ptCount val="3"/>
                <c:pt idx="0">
                  <c:v>Pedro</c:v>
                </c:pt>
                <c:pt idx="1">
                  <c:v>Miguel</c:v>
                </c:pt>
                <c:pt idx="2">
                  <c:v>Gichelson</c:v>
                </c:pt>
              </c:strCache>
            </c:strRef>
          </c:cat>
          <c:val>
            <c:numRef>
              <c:f>'Calendar 2026'!$AG$127:$AG$129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33FE-4931-83B2-1227D863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066944"/>
        <c:axId val="96072832"/>
      </c:barChart>
      <c:barChart>
        <c:barDir val="col"/>
        <c:grouping val="stacked"/>
        <c:varyColors val="0"/>
        <c:ser>
          <c:idx val="4"/>
          <c:order val="4"/>
          <c:tx>
            <c:strRef>
              <c:f>'Calendar 2026'!$AK$123</c:f>
              <c:strCache>
                <c:ptCount val="1"/>
              </c:strCache>
            </c:strRef>
          </c:tx>
          <c:invertIfNegative val="0"/>
          <c:val>
            <c:numRef>
              <c:f>'Calendar 2026'!$AO$127:$AO$129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33FE-4931-83B2-1227D863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49888"/>
        <c:axId val="96074368"/>
      </c:barChart>
      <c:catAx>
        <c:axId val="96066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6072832"/>
        <c:crosses val="autoZero"/>
        <c:auto val="1"/>
        <c:lblAlgn val="ctr"/>
        <c:lblOffset val="100"/>
        <c:noMultiLvlLbl val="0"/>
      </c:catAx>
      <c:valAx>
        <c:axId val="96072832"/>
        <c:scaling>
          <c:orientation val="minMax"/>
          <c:max val="3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066944"/>
        <c:crosses val="autoZero"/>
        <c:crossBetween val="between"/>
      </c:valAx>
      <c:valAx>
        <c:axId val="96074368"/>
        <c:scaling>
          <c:orientation val="minMax"/>
          <c:max val="3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crossAx val="96149888"/>
        <c:crosses val="max"/>
        <c:crossBetween val="between"/>
      </c:valAx>
      <c:catAx>
        <c:axId val="96149888"/>
        <c:scaling>
          <c:orientation val="minMax"/>
        </c:scaling>
        <c:delete val="1"/>
        <c:axPos val="b"/>
        <c:majorTickMark val="out"/>
        <c:minorTickMark val="none"/>
        <c:tickLblPos val="nextTo"/>
        <c:crossAx val="9607436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14</xdr:row>
      <xdr:rowOff>142875</xdr:rowOff>
    </xdr:from>
    <xdr:to>
      <xdr:col>13</xdr:col>
      <xdr:colOff>0</xdr:colOff>
      <xdr:row>14</xdr:row>
      <xdr:rowOff>142875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295A29B-A004-403B-9A83-3A502C5B23F9}"/>
            </a:ext>
          </a:extLst>
        </xdr:cNvPr>
        <xdr:cNvSpPr>
          <a:spLocks noChangeShapeType="1"/>
        </xdr:cNvSpPr>
      </xdr:nvSpPr>
      <xdr:spPr bwMode="auto">
        <a:xfrm flipH="1">
          <a:off x="4787900" y="2644775"/>
          <a:ext cx="577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15874</xdr:colOff>
      <xdr:row>143</xdr:row>
      <xdr:rowOff>136525</xdr:rowOff>
    </xdr:from>
    <xdr:to>
      <xdr:col>32</xdr:col>
      <xdr:colOff>31749</xdr:colOff>
      <xdr:row>178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CD129F-3588-4768-B1DD-FBFEF1F81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206374</xdr:colOff>
      <xdr:row>144</xdr:row>
      <xdr:rowOff>41274</xdr:rowOff>
    </xdr:from>
    <xdr:to>
      <xdr:col>51</xdr:col>
      <xdr:colOff>365125</xdr:colOff>
      <xdr:row>178</xdr:row>
      <xdr:rowOff>63499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438A2A-1202-457B-84CD-BFD1D4053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186</xdr:row>
      <xdr:rowOff>0</xdr:rowOff>
    </xdr:from>
    <xdr:to>
      <xdr:col>32</xdr:col>
      <xdr:colOff>15875</xdr:colOff>
      <xdr:row>220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1C8842-B7F3-453D-A2F8-3B6D95304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186</xdr:row>
      <xdr:rowOff>0</xdr:rowOff>
    </xdr:from>
    <xdr:to>
      <xdr:col>55</xdr:col>
      <xdr:colOff>428625</xdr:colOff>
      <xdr:row>220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A34FE4-2CFB-4023-84EF-61644483E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14</xdr:row>
      <xdr:rowOff>142875</xdr:rowOff>
    </xdr:from>
    <xdr:to>
      <xdr:col>13</xdr:col>
      <xdr:colOff>0</xdr:colOff>
      <xdr:row>14</xdr:row>
      <xdr:rowOff>142875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35CAFD4-E0F7-4175-9B3D-EE7AB35676EF}"/>
            </a:ext>
          </a:extLst>
        </xdr:cNvPr>
        <xdr:cNvSpPr>
          <a:spLocks noChangeShapeType="1"/>
        </xdr:cNvSpPr>
      </xdr:nvSpPr>
      <xdr:spPr bwMode="auto">
        <a:xfrm flipH="1">
          <a:off x="4787900" y="2644775"/>
          <a:ext cx="577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15874</xdr:colOff>
      <xdr:row>143</xdr:row>
      <xdr:rowOff>136525</xdr:rowOff>
    </xdr:from>
    <xdr:to>
      <xdr:col>32</xdr:col>
      <xdr:colOff>31749</xdr:colOff>
      <xdr:row>178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1D3370-43DC-47AE-95D0-479EEB46B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206374</xdr:colOff>
      <xdr:row>144</xdr:row>
      <xdr:rowOff>41274</xdr:rowOff>
    </xdr:from>
    <xdr:to>
      <xdr:col>51</xdr:col>
      <xdr:colOff>365125</xdr:colOff>
      <xdr:row>178</xdr:row>
      <xdr:rowOff>63499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078A08-45AB-4455-8F3D-4884A4E7B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186</xdr:row>
      <xdr:rowOff>0</xdr:rowOff>
    </xdr:from>
    <xdr:to>
      <xdr:col>32</xdr:col>
      <xdr:colOff>15875</xdr:colOff>
      <xdr:row>220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9C0C76-7562-405C-9110-7D120B500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186</xdr:row>
      <xdr:rowOff>0</xdr:rowOff>
    </xdr:from>
    <xdr:to>
      <xdr:col>55</xdr:col>
      <xdr:colOff>428625</xdr:colOff>
      <xdr:row>220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038181-0489-4000-8971-A24B03DA2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olkswagengroup.sharepoint.com/sites/AccountingVolkswagenGroupServicesandSharedServices/Shared%20Documents/Corrente/Geral/Calendario+Feriados.xlsx" TargetMode="External"/><Relationship Id="rId1" Type="http://schemas.openxmlformats.org/officeDocument/2006/relationships/externalLinkPath" Target="https://volkswagengroup.sharepoint.com/sites/AccountingVolkswagenGroupServicesandSharedServices/Shared%20Documents/Corrente/Geral/Calendario+Feri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endar 2025"/>
      <sheetName val="Calendar 2026"/>
      <sheetName val="Sheet1"/>
    </sheetNames>
    <sheetDataSet>
      <sheetData sheetId="0" refreshError="1"/>
      <sheetData sheetId="1" refreshError="1"/>
      <sheetData sheetId="2">
        <row r="2">
          <cell r="A2">
            <v>1900</v>
          </cell>
        </row>
        <row r="3">
          <cell r="A3">
            <v>1901</v>
          </cell>
        </row>
        <row r="4">
          <cell r="A4">
            <v>1902</v>
          </cell>
        </row>
        <row r="5">
          <cell r="A5">
            <v>1903</v>
          </cell>
        </row>
        <row r="6">
          <cell r="A6">
            <v>1904</v>
          </cell>
        </row>
        <row r="7">
          <cell r="A7">
            <v>1905</v>
          </cell>
        </row>
        <row r="8">
          <cell r="A8">
            <v>1906</v>
          </cell>
        </row>
        <row r="9">
          <cell r="A9">
            <v>1907</v>
          </cell>
        </row>
        <row r="10">
          <cell r="A10">
            <v>1908</v>
          </cell>
        </row>
        <row r="11">
          <cell r="A11">
            <v>1909</v>
          </cell>
        </row>
        <row r="12">
          <cell r="A12">
            <v>1910</v>
          </cell>
        </row>
        <row r="13">
          <cell r="A13">
            <v>1911</v>
          </cell>
        </row>
        <row r="14">
          <cell r="A14">
            <v>1912</v>
          </cell>
        </row>
        <row r="15">
          <cell r="A15">
            <v>1913</v>
          </cell>
        </row>
        <row r="16">
          <cell r="A16">
            <v>1914</v>
          </cell>
        </row>
        <row r="17">
          <cell r="A17">
            <v>1915</v>
          </cell>
        </row>
        <row r="18">
          <cell r="A18">
            <v>1916</v>
          </cell>
        </row>
        <row r="19">
          <cell r="A19">
            <v>1917</v>
          </cell>
        </row>
        <row r="20">
          <cell r="A20">
            <v>1918</v>
          </cell>
        </row>
        <row r="21">
          <cell r="A21">
            <v>1919</v>
          </cell>
        </row>
        <row r="22">
          <cell r="A22">
            <v>1920</v>
          </cell>
        </row>
        <row r="23">
          <cell r="A23">
            <v>1921</v>
          </cell>
        </row>
        <row r="24">
          <cell r="A24">
            <v>1922</v>
          </cell>
        </row>
        <row r="25">
          <cell r="A25">
            <v>1923</v>
          </cell>
        </row>
        <row r="26">
          <cell r="A26">
            <v>1924</v>
          </cell>
        </row>
        <row r="27">
          <cell r="A27">
            <v>1925</v>
          </cell>
        </row>
        <row r="28">
          <cell r="A28">
            <v>1926</v>
          </cell>
        </row>
        <row r="29">
          <cell r="A29">
            <v>1927</v>
          </cell>
        </row>
        <row r="30">
          <cell r="A30">
            <v>1928</v>
          </cell>
        </row>
        <row r="31">
          <cell r="A31">
            <v>1929</v>
          </cell>
        </row>
        <row r="32">
          <cell r="A32">
            <v>1930</v>
          </cell>
        </row>
        <row r="33">
          <cell r="A33">
            <v>1931</v>
          </cell>
        </row>
        <row r="34">
          <cell r="A34">
            <v>1932</v>
          </cell>
        </row>
        <row r="35">
          <cell r="A35">
            <v>1933</v>
          </cell>
        </row>
        <row r="36">
          <cell r="A36">
            <v>1934</v>
          </cell>
        </row>
        <row r="37">
          <cell r="A37">
            <v>1935</v>
          </cell>
        </row>
        <row r="38">
          <cell r="A38">
            <v>1936</v>
          </cell>
        </row>
        <row r="39">
          <cell r="A39">
            <v>1937</v>
          </cell>
        </row>
        <row r="40">
          <cell r="A40">
            <v>1938</v>
          </cell>
        </row>
        <row r="41">
          <cell r="A41">
            <v>1939</v>
          </cell>
        </row>
        <row r="42">
          <cell r="A42">
            <v>1940</v>
          </cell>
        </row>
        <row r="43">
          <cell r="A43">
            <v>1941</v>
          </cell>
        </row>
        <row r="44">
          <cell r="A44">
            <v>1942</v>
          </cell>
        </row>
        <row r="45">
          <cell r="A45">
            <v>1943</v>
          </cell>
        </row>
        <row r="46">
          <cell r="A46">
            <v>1944</v>
          </cell>
        </row>
        <row r="47">
          <cell r="A47">
            <v>1945</v>
          </cell>
        </row>
        <row r="48">
          <cell r="A48">
            <v>1946</v>
          </cell>
        </row>
        <row r="49">
          <cell r="A49">
            <v>1947</v>
          </cell>
        </row>
        <row r="50">
          <cell r="A50">
            <v>1948</v>
          </cell>
        </row>
        <row r="51">
          <cell r="A51">
            <v>1949</v>
          </cell>
        </row>
        <row r="52">
          <cell r="A52">
            <v>1950</v>
          </cell>
        </row>
        <row r="53">
          <cell r="A53">
            <v>1951</v>
          </cell>
        </row>
        <row r="54">
          <cell r="A54">
            <v>1952</v>
          </cell>
        </row>
        <row r="55">
          <cell r="A55">
            <v>1953</v>
          </cell>
        </row>
        <row r="56">
          <cell r="A56">
            <v>1954</v>
          </cell>
        </row>
        <row r="57">
          <cell r="A57">
            <v>1955</v>
          </cell>
        </row>
        <row r="58">
          <cell r="A58">
            <v>1956</v>
          </cell>
        </row>
        <row r="59">
          <cell r="A59">
            <v>1957</v>
          </cell>
        </row>
        <row r="60">
          <cell r="A60">
            <v>1958</v>
          </cell>
        </row>
        <row r="61">
          <cell r="A61">
            <v>1959</v>
          </cell>
        </row>
        <row r="62">
          <cell r="A62">
            <v>1960</v>
          </cell>
        </row>
        <row r="63">
          <cell r="A63">
            <v>1961</v>
          </cell>
        </row>
        <row r="64">
          <cell r="A64">
            <v>1962</v>
          </cell>
        </row>
        <row r="65">
          <cell r="A65">
            <v>1963</v>
          </cell>
        </row>
        <row r="66">
          <cell r="A66">
            <v>1964</v>
          </cell>
        </row>
        <row r="67">
          <cell r="A67">
            <v>1965</v>
          </cell>
        </row>
        <row r="68">
          <cell r="A68">
            <v>1966</v>
          </cell>
        </row>
        <row r="69">
          <cell r="A69">
            <v>1967</v>
          </cell>
        </row>
        <row r="70">
          <cell r="A70">
            <v>1968</v>
          </cell>
        </row>
        <row r="71">
          <cell r="A71">
            <v>1969</v>
          </cell>
        </row>
        <row r="72">
          <cell r="A72">
            <v>1970</v>
          </cell>
        </row>
        <row r="73">
          <cell r="A73">
            <v>1971</v>
          </cell>
        </row>
        <row r="74">
          <cell r="A74">
            <v>1972</v>
          </cell>
        </row>
        <row r="75">
          <cell r="A75">
            <v>1973</v>
          </cell>
        </row>
        <row r="76">
          <cell r="A76">
            <v>1974</v>
          </cell>
        </row>
        <row r="77">
          <cell r="A77">
            <v>1975</v>
          </cell>
        </row>
        <row r="78">
          <cell r="A78">
            <v>1976</v>
          </cell>
        </row>
        <row r="79">
          <cell r="A79">
            <v>1977</v>
          </cell>
        </row>
        <row r="80">
          <cell r="A80">
            <v>1978</v>
          </cell>
        </row>
        <row r="81">
          <cell r="A81">
            <v>1979</v>
          </cell>
        </row>
        <row r="82">
          <cell r="A82">
            <v>1980</v>
          </cell>
        </row>
        <row r="83">
          <cell r="A83">
            <v>1981</v>
          </cell>
        </row>
        <row r="84">
          <cell r="A84">
            <v>1982</v>
          </cell>
        </row>
        <row r="85">
          <cell r="A85">
            <v>1983</v>
          </cell>
        </row>
        <row r="86">
          <cell r="A86">
            <v>1984</v>
          </cell>
        </row>
        <row r="87">
          <cell r="A87">
            <v>1985</v>
          </cell>
        </row>
        <row r="88">
          <cell r="A88">
            <v>1986</v>
          </cell>
        </row>
        <row r="89">
          <cell r="A89">
            <v>1987</v>
          </cell>
        </row>
        <row r="90">
          <cell r="A90">
            <v>1988</v>
          </cell>
        </row>
        <row r="91">
          <cell r="A91">
            <v>1989</v>
          </cell>
        </row>
        <row r="92">
          <cell r="A92">
            <v>1990</v>
          </cell>
        </row>
        <row r="93">
          <cell r="A93">
            <v>1991</v>
          </cell>
        </row>
        <row r="94">
          <cell r="A94">
            <v>1992</v>
          </cell>
        </row>
        <row r="95">
          <cell r="A95">
            <v>1993</v>
          </cell>
        </row>
        <row r="96">
          <cell r="A96">
            <v>1994</v>
          </cell>
        </row>
        <row r="97">
          <cell r="A97">
            <v>1995</v>
          </cell>
        </row>
        <row r="98">
          <cell r="A98">
            <v>1996</v>
          </cell>
        </row>
        <row r="99">
          <cell r="A99">
            <v>1997</v>
          </cell>
        </row>
        <row r="100">
          <cell r="A100">
            <v>1998</v>
          </cell>
        </row>
        <row r="101">
          <cell r="A101">
            <v>1999</v>
          </cell>
        </row>
        <row r="102">
          <cell r="A102">
            <v>2000</v>
          </cell>
        </row>
        <row r="103">
          <cell r="A103">
            <v>2001</v>
          </cell>
        </row>
        <row r="104">
          <cell r="A104">
            <v>2002</v>
          </cell>
        </row>
        <row r="105">
          <cell r="A105">
            <v>2003</v>
          </cell>
        </row>
        <row r="106">
          <cell r="A106">
            <v>2004</v>
          </cell>
        </row>
        <row r="107">
          <cell r="A107">
            <v>2005</v>
          </cell>
        </row>
        <row r="108">
          <cell r="A108">
            <v>2006</v>
          </cell>
        </row>
        <row r="109">
          <cell r="A109">
            <v>2007</v>
          </cell>
        </row>
        <row r="110">
          <cell r="A110">
            <v>2008</v>
          </cell>
        </row>
        <row r="111">
          <cell r="A111">
            <v>2009</v>
          </cell>
        </row>
        <row r="112">
          <cell r="A112">
            <v>2010</v>
          </cell>
        </row>
        <row r="113">
          <cell r="A113">
            <v>2011</v>
          </cell>
        </row>
        <row r="114">
          <cell r="A114">
            <v>2012</v>
          </cell>
        </row>
        <row r="115">
          <cell r="A115">
            <v>2013</v>
          </cell>
        </row>
        <row r="116">
          <cell r="A116">
            <v>2014</v>
          </cell>
        </row>
        <row r="117">
          <cell r="A117">
            <v>2015</v>
          </cell>
        </row>
        <row r="118">
          <cell r="A118">
            <v>2016</v>
          </cell>
        </row>
        <row r="119">
          <cell r="A119">
            <v>2017</v>
          </cell>
        </row>
        <row r="120">
          <cell r="A120">
            <v>2018</v>
          </cell>
        </row>
        <row r="121">
          <cell r="A121">
            <v>2019</v>
          </cell>
        </row>
        <row r="122">
          <cell r="A122">
            <v>2020</v>
          </cell>
        </row>
        <row r="123">
          <cell r="A123">
            <v>2021</v>
          </cell>
        </row>
        <row r="124">
          <cell r="A124">
            <v>2022</v>
          </cell>
        </row>
        <row r="125">
          <cell r="A125">
            <v>2023</v>
          </cell>
        </row>
        <row r="126">
          <cell r="A126">
            <v>2024</v>
          </cell>
        </row>
        <row r="127">
          <cell r="A127">
            <v>2025</v>
          </cell>
        </row>
        <row r="128">
          <cell r="A128">
            <v>2026</v>
          </cell>
        </row>
        <row r="129">
          <cell r="A129">
            <v>2027</v>
          </cell>
        </row>
        <row r="130">
          <cell r="A130">
            <v>2028</v>
          </cell>
        </row>
        <row r="131">
          <cell r="A131">
            <v>2029</v>
          </cell>
        </row>
        <row r="132">
          <cell r="A132">
            <v>2030</v>
          </cell>
        </row>
        <row r="133">
          <cell r="A133">
            <v>2031</v>
          </cell>
        </row>
        <row r="134">
          <cell r="A134">
            <v>2032</v>
          </cell>
        </row>
        <row r="135">
          <cell r="A135">
            <v>2033</v>
          </cell>
        </row>
        <row r="136">
          <cell r="A136">
            <v>2034</v>
          </cell>
        </row>
        <row r="137">
          <cell r="A137">
            <v>2035</v>
          </cell>
        </row>
        <row r="138">
          <cell r="A138">
            <v>2036</v>
          </cell>
        </row>
        <row r="139">
          <cell r="A139">
            <v>2037</v>
          </cell>
        </row>
        <row r="140">
          <cell r="A140">
            <v>2038</v>
          </cell>
        </row>
        <row r="141">
          <cell r="A141">
            <v>2039</v>
          </cell>
        </row>
        <row r="142">
          <cell r="A142">
            <v>2040</v>
          </cell>
        </row>
        <row r="143">
          <cell r="A143">
            <v>2041</v>
          </cell>
        </row>
        <row r="144">
          <cell r="A144">
            <v>2042</v>
          </cell>
        </row>
        <row r="145">
          <cell r="A145">
            <v>2043</v>
          </cell>
        </row>
        <row r="146">
          <cell r="A146">
            <v>2044</v>
          </cell>
        </row>
        <row r="147">
          <cell r="A147">
            <v>2045</v>
          </cell>
        </row>
        <row r="148">
          <cell r="A148">
            <v>2046</v>
          </cell>
        </row>
        <row r="149">
          <cell r="A149">
            <v>2047</v>
          </cell>
        </row>
        <row r="150">
          <cell r="A150">
            <v>2048</v>
          </cell>
        </row>
        <row r="151">
          <cell r="A151">
            <v>2049</v>
          </cell>
        </row>
        <row r="152">
          <cell r="A152">
            <v>2050</v>
          </cell>
        </row>
        <row r="153">
          <cell r="A153">
            <v>2051</v>
          </cell>
        </row>
        <row r="154">
          <cell r="A154">
            <v>2052</v>
          </cell>
        </row>
        <row r="155">
          <cell r="A155">
            <v>2053</v>
          </cell>
        </row>
        <row r="156">
          <cell r="A156">
            <v>2054</v>
          </cell>
        </row>
        <row r="157">
          <cell r="A157">
            <v>2055</v>
          </cell>
        </row>
        <row r="158">
          <cell r="A158">
            <v>2056</v>
          </cell>
        </row>
        <row r="159">
          <cell r="A159">
            <v>2057</v>
          </cell>
        </row>
        <row r="160">
          <cell r="A160">
            <v>2058</v>
          </cell>
        </row>
        <row r="161">
          <cell r="A161">
            <v>2059</v>
          </cell>
        </row>
        <row r="162">
          <cell r="A162">
            <v>2060</v>
          </cell>
        </row>
        <row r="163">
          <cell r="A163">
            <v>2061</v>
          </cell>
        </row>
        <row r="164">
          <cell r="A164">
            <v>2062</v>
          </cell>
        </row>
        <row r="165">
          <cell r="A165">
            <v>2063</v>
          </cell>
        </row>
        <row r="166">
          <cell r="A166">
            <v>2064</v>
          </cell>
        </row>
        <row r="167">
          <cell r="A167">
            <v>2065</v>
          </cell>
        </row>
        <row r="168">
          <cell r="A168">
            <v>2066</v>
          </cell>
        </row>
        <row r="169">
          <cell r="A169">
            <v>2067</v>
          </cell>
        </row>
        <row r="170">
          <cell r="A170">
            <v>2068</v>
          </cell>
        </row>
        <row r="171">
          <cell r="A171">
            <v>2069</v>
          </cell>
        </row>
        <row r="172">
          <cell r="A172">
            <v>2070</v>
          </cell>
        </row>
        <row r="173">
          <cell r="A173">
            <v>2071</v>
          </cell>
        </row>
        <row r="174">
          <cell r="A174">
            <v>2072</v>
          </cell>
        </row>
        <row r="175">
          <cell r="A175">
            <v>2073</v>
          </cell>
        </row>
        <row r="176">
          <cell r="A176">
            <v>2074</v>
          </cell>
        </row>
        <row r="177">
          <cell r="A177">
            <v>2075</v>
          </cell>
        </row>
        <row r="178">
          <cell r="A178">
            <v>2076</v>
          </cell>
        </row>
        <row r="179">
          <cell r="A179">
            <v>2077</v>
          </cell>
        </row>
        <row r="180">
          <cell r="A180">
            <v>2078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D328-FC10-4F52-A5B4-2A6C4CF91B4D}">
  <dimension ref="A1:AW140"/>
  <sheetViews>
    <sheetView showGridLines="0" topLeftCell="A15" zoomScaleNormal="100" workbookViewId="0">
      <pane xSplit="2" ySplit="4" topLeftCell="C75" activePane="bottomRight" state="frozen"/>
      <selection pane="topRight" activeCell="C15" sqref="C15"/>
      <selection pane="bottomLeft" activeCell="A19" sqref="A19"/>
      <selection pane="bottomRight" activeCell="R88" sqref="R88:V88"/>
    </sheetView>
  </sheetViews>
  <sheetFormatPr defaultColWidth="9.453125" defaultRowHeight="13" x14ac:dyDescent="0.25"/>
  <cols>
    <col min="1" max="1" width="6.54296875" style="7" customWidth="1"/>
    <col min="2" max="2" width="19.453125" style="7" customWidth="1"/>
    <col min="3" max="3" width="5.453125" style="7" customWidth="1"/>
    <col min="4" max="4" width="4.453125" style="7" customWidth="1"/>
    <col min="5" max="44" width="4.54296875" style="7" customWidth="1"/>
    <col min="45" max="16384" width="9.453125" style="7"/>
  </cols>
  <sheetData>
    <row r="1" spans="1:29" x14ac:dyDescent="0.25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4"/>
      <c r="H1" s="4"/>
      <c r="I1" s="5"/>
      <c r="J1" s="4"/>
      <c r="K1" s="4"/>
      <c r="L1" s="4"/>
      <c r="M1" s="3" t="s">
        <v>4</v>
      </c>
      <c r="N1" s="3" t="s">
        <v>5</v>
      </c>
      <c r="O1" s="3" t="s">
        <v>6</v>
      </c>
      <c r="P1" s="3" t="s">
        <v>7</v>
      </c>
      <c r="Q1" s="4"/>
      <c r="R1" s="5"/>
      <c r="S1" s="4"/>
      <c r="T1" s="4"/>
      <c r="U1" s="3" t="s">
        <v>8</v>
      </c>
      <c r="V1" s="3" t="s">
        <v>9</v>
      </c>
      <c r="W1" s="3" t="s">
        <v>10</v>
      </c>
      <c r="X1" s="3" t="s">
        <v>11</v>
      </c>
      <c r="Y1" s="4"/>
      <c r="Z1" s="4"/>
      <c r="AA1" s="4"/>
      <c r="AB1" s="6"/>
    </row>
    <row r="2" spans="1:29" x14ac:dyDescent="0.25">
      <c r="A2" s="8"/>
      <c r="B2" s="9"/>
      <c r="C2" s="10" t="str">
        <f>"1/1/" &amp;I15</f>
        <v>1/1/2025</v>
      </c>
      <c r="D2" s="9">
        <f>U2+31</f>
        <v>45748</v>
      </c>
      <c r="E2" s="9">
        <f>V2+30</f>
        <v>45839</v>
      </c>
      <c r="F2" s="9">
        <f>W2+30</f>
        <v>45931</v>
      </c>
      <c r="G2" s="9"/>
      <c r="H2" s="11"/>
      <c r="I2" s="12"/>
      <c r="J2" s="11"/>
      <c r="K2" s="11"/>
      <c r="L2" s="11">
        <f>IF(OR((AND(MOD(YEAR(C2),4)=0,MOD(YEAR(C2),100)&lt;&gt;0)), (MOD(YEAR(C2),400)=0)), 29,28)</f>
        <v>28</v>
      </c>
      <c r="M2" s="9">
        <f>C2+31</f>
        <v>45689</v>
      </c>
      <c r="N2" s="9">
        <f>D2+30</f>
        <v>45778</v>
      </c>
      <c r="O2" s="9">
        <f>E2+31</f>
        <v>45870</v>
      </c>
      <c r="P2" s="9">
        <f>F2+31</f>
        <v>45962</v>
      </c>
      <c r="Q2" s="11"/>
      <c r="R2" s="12"/>
      <c r="S2" s="11"/>
      <c r="T2" s="11"/>
      <c r="U2" s="9">
        <f>M2+L2</f>
        <v>45717</v>
      </c>
      <c r="V2" s="9">
        <f>N2+31</f>
        <v>45809</v>
      </c>
      <c r="W2" s="9">
        <f>O2+31</f>
        <v>45901</v>
      </c>
      <c r="X2" s="9">
        <f>P2+30</f>
        <v>45992</v>
      </c>
      <c r="Y2" s="11"/>
      <c r="Z2" s="11"/>
      <c r="AA2" s="11"/>
      <c r="AC2" s="13"/>
    </row>
    <row r="3" spans="1:29" ht="15.75" customHeight="1" x14ac:dyDescent="0.25">
      <c r="A3" s="14" t="s">
        <v>0</v>
      </c>
      <c r="B3" s="15"/>
      <c r="C3" s="11">
        <f>IF(WEEKDAY($C$2)=1,1,0)</f>
        <v>0</v>
      </c>
      <c r="D3" s="11">
        <f>IF(WEEKDAY($C$2)=2,1,0)</f>
        <v>0</v>
      </c>
      <c r="E3" s="11">
        <f>IF(WEEKDAY($C$2)=3,1,0)</f>
        <v>0</v>
      </c>
      <c r="F3" s="11">
        <f>IF(WEEKDAY($C$2)=4,1,0)</f>
        <v>1</v>
      </c>
      <c r="G3" s="11">
        <f>IF(WEEKDAY($C$2)=5,1,0)</f>
        <v>0</v>
      </c>
      <c r="H3" s="11">
        <f>IF(WEEKDAY($C$2)=6,1,0)</f>
        <v>0</v>
      </c>
      <c r="I3" s="12">
        <f>IF(WEEKDAY($C$2)=7,1,0)</f>
        <v>0</v>
      </c>
      <c r="J3" s="15" t="s">
        <v>4</v>
      </c>
      <c r="K3" s="15"/>
      <c r="L3" s="11">
        <f>IF(WEEKDAY($M$2)=1,1,0)</f>
        <v>0</v>
      </c>
      <c r="M3" s="11">
        <f>IF(WEEKDAY($M$2)=2,1,0)</f>
        <v>0</v>
      </c>
      <c r="N3" s="11">
        <f>IF(WEEKDAY($M$2)=3,1,0)</f>
        <v>0</v>
      </c>
      <c r="O3" s="11">
        <f>IF(WEEKDAY($M$2)=4,1,0)</f>
        <v>0</v>
      </c>
      <c r="P3" s="11">
        <f>IF(WEEKDAY($M$2)=5,1,0)</f>
        <v>0</v>
      </c>
      <c r="Q3" s="11">
        <f>IF(WEEKDAY($M$2)=6,1,0)</f>
        <v>0</v>
      </c>
      <c r="R3" s="12">
        <f>IF(WEEKDAY($M$2)=7,1,0)</f>
        <v>1</v>
      </c>
      <c r="S3" s="15" t="s">
        <v>8</v>
      </c>
      <c r="T3" s="15"/>
      <c r="U3" s="11">
        <f>IF(WEEKDAY($U$2)=1,1,0)</f>
        <v>0</v>
      </c>
      <c r="V3" s="11">
        <f>IF(WEEKDAY($U$2)=2,1,0)</f>
        <v>0</v>
      </c>
      <c r="W3" s="11">
        <f>IF(WEEKDAY($U$2)=3,1,0)</f>
        <v>0</v>
      </c>
      <c r="X3" s="11">
        <f>IF(WEEKDAY($U$2)=4,1,0)</f>
        <v>0</v>
      </c>
      <c r="Y3" s="11">
        <f>IF(WEEKDAY($U$2)=5,1,0)</f>
        <v>0</v>
      </c>
      <c r="Z3" s="11">
        <f>IF(WEEKDAY($U$2)=6,1,0)</f>
        <v>0</v>
      </c>
      <c r="AA3" s="11">
        <f>IF(WEEKDAY($U$2)=7,1,0)</f>
        <v>1</v>
      </c>
    </row>
    <row r="4" spans="1:29" ht="15.75" customHeight="1" x14ac:dyDescent="0.25">
      <c r="A4" s="14" t="s">
        <v>1</v>
      </c>
      <c r="B4" s="15"/>
      <c r="C4" s="11">
        <f>IF(WEEKDAY($D$2)=1,1,0)</f>
        <v>0</v>
      </c>
      <c r="D4" s="11">
        <f>IF(WEEKDAY($D$2)=2,1,0)</f>
        <v>0</v>
      </c>
      <c r="E4" s="11">
        <f>IF(WEEKDAY($D$2)=3,1,0)</f>
        <v>1</v>
      </c>
      <c r="F4" s="11">
        <f>IF(WEEKDAY($D$2)=4,1,0)</f>
        <v>0</v>
      </c>
      <c r="G4" s="11">
        <f>IF(WEEKDAY($D$2)=5,1,0)</f>
        <v>0</v>
      </c>
      <c r="H4" s="11">
        <f>IF(WEEKDAY($D$2)=6,1,0)</f>
        <v>0</v>
      </c>
      <c r="I4" s="12">
        <f>IF(WEEKDAY($D$2)=7,1,0)</f>
        <v>0</v>
      </c>
      <c r="J4" s="15" t="s">
        <v>5</v>
      </c>
      <c r="K4" s="15"/>
      <c r="L4" s="11">
        <f>IF(WEEKDAY($N$2)=1,1,0)</f>
        <v>0</v>
      </c>
      <c r="M4" s="11">
        <f>IF(WEEKDAY($N$2)=2,1,0)</f>
        <v>0</v>
      </c>
      <c r="N4" s="11">
        <f>IF(WEEKDAY($N$2)=3,1,0)</f>
        <v>0</v>
      </c>
      <c r="O4" s="11">
        <f>IF(WEEKDAY($N$2)=4,1,0)</f>
        <v>0</v>
      </c>
      <c r="P4" s="11">
        <f>IF(WEEKDAY($N$2)=5,1,0)</f>
        <v>1</v>
      </c>
      <c r="Q4" s="11">
        <f>IF(WEEKDAY($N$2)=6,1,0)</f>
        <v>0</v>
      </c>
      <c r="R4" s="12">
        <f>IF(WEEKDAY($N$2)=7,1,0)</f>
        <v>0</v>
      </c>
      <c r="S4" s="15" t="s">
        <v>9</v>
      </c>
      <c r="T4" s="15"/>
      <c r="U4" s="11">
        <f>IF(WEEKDAY($V$2)=1,1,0)</f>
        <v>1</v>
      </c>
      <c r="V4" s="11">
        <f>IF(WEEKDAY($V$2)=2,1,0)</f>
        <v>0</v>
      </c>
      <c r="W4" s="11">
        <f>IF(WEEKDAY($V$2)=3,1,0)</f>
        <v>0</v>
      </c>
      <c r="X4" s="11">
        <f>IF(WEEKDAY($V$2)=4,1,0)</f>
        <v>0</v>
      </c>
      <c r="Y4" s="11">
        <f>IF(WEEKDAY($V$2)=5,1,0)</f>
        <v>0</v>
      </c>
      <c r="Z4" s="11">
        <f>IF(WEEKDAY($V$2)=6,1,0)</f>
        <v>0</v>
      </c>
      <c r="AA4" s="11">
        <f>IF(WEEKDAY($V$2)=7,1,0)</f>
        <v>0</v>
      </c>
    </row>
    <row r="5" spans="1:29" ht="15.75" customHeight="1" x14ac:dyDescent="0.25">
      <c r="A5" s="14" t="s">
        <v>2</v>
      </c>
      <c r="B5" s="15"/>
      <c r="C5" s="11">
        <f>IF(WEEKDAY($E$2)=1,1,0)</f>
        <v>0</v>
      </c>
      <c r="D5" s="11">
        <f>IF(WEEKDAY($E$2)=2,1,0)</f>
        <v>0</v>
      </c>
      <c r="E5" s="11">
        <f>IF(WEEKDAY($E$2)=3,1,0)</f>
        <v>1</v>
      </c>
      <c r="F5" s="11">
        <f>IF(WEEKDAY($E$2)=4,1,0)</f>
        <v>0</v>
      </c>
      <c r="G5" s="11">
        <f>IF(WEEKDAY($E$2)=5,1,0)</f>
        <v>0</v>
      </c>
      <c r="H5" s="11">
        <f>IF(WEEKDAY($E$2)=6,1,0)</f>
        <v>0</v>
      </c>
      <c r="I5" s="12">
        <f>IF(WEEKDAY($E$2)=7,1,0)</f>
        <v>0</v>
      </c>
      <c r="J5" s="15" t="s">
        <v>6</v>
      </c>
      <c r="K5" s="15"/>
      <c r="L5" s="11">
        <f>IF(WEEKDAY($O$2)=1,1,0)</f>
        <v>0</v>
      </c>
      <c r="M5" s="11">
        <f>IF(WEEKDAY($O$2)=2,1,0)</f>
        <v>0</v>
      </c>
      <c r="N5" s="11">
        <f>IF(WEEKDAY($O$2)=3,1,0)</f>
        <v>0</v>
      </c>
      <c r="O5" s="11">
        <f>IF(WEEKDAY($O$2)=4,1,0)</f>
        <v>0</v>
      </c>
      <c r="P5" s="11">
        <f>IF(WEEKDAY($O$2)=5,1,0)</f>
        <v>0</v>
      </c>
      <c r="Q5" s="11">
        <f>IF(WEEKDAY($O$2)=6,1,0)</f>
        <v>1</v>
      </c>
      <c r="R5" s="12">
        <f>IF(WEEKDAY($O$2)=7,1,0)</f>
        <v>0</v>
      </c>
      <c r="S5" s="15" t="s">
        <v>10</v>
      </c>
      <c r="T5" s="15"/>
      <c r="U5" s="11">
        <f>IF(WEEKDAY($W$2)=1,1,0)</f>
        <v>0</v>
      </c>
      <c r="V5" s="11">
        <f>IF(WEEKDAY($W$2)=2,1,0)</f>
        <v>1</v>
      </c>
      <c r="W5" s="11">
        <f>IF(WEEKDAY($W$2)=3,1,0)</f>
        <v>0</v>
      </c>
      <c r="X5" s="11">
        <f>IF(WEEKDAY($W$2)=4,1,0)</f>
        <v>0</v>
      </c>
      <c r="Y5" s="11">
        <f>IF(WEEKDAY($W$2)=5,1,0)</f>
        <v>0</v>
      </c>
      <c r="Z5" s="11">
        <f>IF(WEEKDAY($W$2)=6,1,0)</f>
        <v>0</v>
      </c>
      <c r="AA5" s="11">
        <f>IF(WEEKDAY($W$2)=7,1,0)</f>
        <v>0</v>
      </c>
    </row>
    <row r="6" spans="1:29" ht="15.75" customHeight="1" x14ac:dyDescent="0.25">
      <c r="A6" s="14" t="s">
        <v>3</v>
      </c>
      <c r="B6" s="15"/>
      <c r="C6" s="11">
        <f>IF(WEEKDAY($F$2)=1,1,0)</f>
        <v>0</v>
      </c>
      <c r="D6" s="11">
        <f>IF(WEEKDAY($F$2)=2,1,0)</f>
        <v>0</v>
      </c>
      <c r="E6" s="11">
        <f>IF(WEEKDAY($F$2)=3,1,0)</f>
        <v>0</v>
      </c>
      <c r="F6" s="11">
        <f>IF(WEEKDAY($F$2)=4,1,0)</f>
        <v>1</v>
      </c>
      <c r="G6" s="11">
        <f>IF(WEEKDAY($F$2)=5,1,0)</f>
        <v>0</v>
      </c>
      <c r="H6" s="11">
        <f>IF(WEEKDAY($F$2)=6,1,0)</f>
        <v>0</v>
      </c>
      <c r="I6" s="12">
        <f>IF(WEEKDAY($F$2)=7,1,0)</f>
        <v>0</v>
      </c>
      <c r="J6" s="15" t="s">
        <v>7</v>
      </c>
      <c r="K6" s="15"/>
      <c r="L6" s="11">
        <f>IF(WEEKDAY($P$2)=1,1,0)</f>
        <v>0</v>
      </c>
      <c r="M6" s="11">
        <f>IF(WEEKDAY($P$2)=2,1,0)</f>
        <v>0</v>
      </c>
      <c r="N6" s="11">
        <f>IF(WEEKDAY($P$2)=3,1,0)</f>
        <v>0</v>
      </c>
      <c r="O6" s="11">
        <f>IF(WEEKDAY($P$2)=4,1,0)</f>
        <v>0</v>
      </c>
      <c r="P6" s="11">
        <f>IF(WEEKDAY($P$2)=5,1,0)</f>
        <v>0</v>
      </c>
      <c r="Q6" s="11">
        <f>IF(WEEKDAY($P$2)=6,1,0)</f>
        <v>0</v>
      </c>
      <c r="R6" s="12">
        <f>IF(WEEKDAY($P$2)=7,1,0)</f>
        <v>1</v>
      </c>
      <c r="S6" s="15" t="s">
        <v>11</v>
      </c>
      <c r="T6" s="15"/>
      <c r="U6" s="11">
        <f>IF(WEEKDAY($X$2)=1,1,0)</f>
        <v>0</v>
      </c>
      <c r="V6" s="11">
        <f>IF(WEEKDAY($X$2)=2,1,0)</f>
        <v>1</v>
      </c>
      <c r="W6" s="11">
        <f>IF(WEEKDAY($X$2)=3,1,0)</f>
        <v>0</v>
      </c>
      <c r="X6" s="11">
        <f>IF(WEEKDAY($X$2)=4,1,0)</f>
        <v>0</v>
      </c>
      <c r="Y6" s="11">
        <f>IF(WEEKDAY($X$2)=5,1,0)</f>
        <v>0</v>
      </c>
      <c r="Z6" s="11">
        <f>IF(WEEKDAY($X$2)=6,1,0)</f>
        <v>0</v>
      </c>
      <c r="AA6" s="11">
        <f>IF(WEEKDAY($X$2)=7,1,0)</f>
        <v>0</v>
      </c>
    </row>
    <row r="8" spans="1:29" x14ac:dyDescent="0.25">
      <c r="A8" s="152" t="s">
        <v>12</v>
      </c>
      <c r="B8" s="152"/>
      <c r="C8" s="7">
        <f>MOD(I15,19)</f>
        <v>11</v>
      </c>
      <c r="D8" s="7">
        <f>MOD(I15,4)</f>
        <v>1</v>
      </c>
      <c r="E8">
        <f>MOD(I15,7)</f>
        <v>2</v>
      </c>
      <c r="F8" s="7">
        <f>MOD((19*C8+24),30)</f>
        <v>23</v>
      </c>
      <c r="G8" s="7">
        <f>MOD((6*F8+4*E8+2*D8+5),7)</f>
        <v>6</v>
      </c>
      <c r="H8" s="13">
        <f>DATE(I15,3,22)</f>
        <v>45738</v>
      </c>
      <c r="I8" s="13">
        <f>H8+G8+F8</f>
        <v>45767</v>
      </c>
      <c r="J8" s="7">
        <f>DAY(I8)</f>
        <v>20</v>
      </c>
    </row>
    <row r="9" spans="1:29" x14ac:dyDescent="0.25">
      <c r="A9" s="152" t="s">
        <v>13</v>
      </c>
      <c r="B9" s="152"/>
      <c r="C9" s="152"/>
      <c r="D9" s="153">
        <f>IF(J8=26,DATE(I15,4,19),IF(AND(J8=25,C8&gt;10),DATE(I15,4,18),I8))</f>
        <v>45767</v>
      </c>
      <c r="E9" s="153"/>
      <c r="F9" s="153"/>
      <c r="H9" s="13"/>
      <c r="I9" s="13"/>
    </row>
    <row r="10" spans="1:29" x14ac:dyDescent="0.25">
      <c r="A10" s="152" t="s">
        <v>14</v>
      </c>
      <c r="B10" s="152"/>
      <c r="C10" s="152"/>
      <c r="D10" s="153">
        <f>D9-47</f>
        <v>45720</v>
      </c>
      <c r="E10" s="153"/>
      <c r="F10" s="153"/>
      <c r="H10" s="13"/>
      <c r="I10" s="13"/>
    </row>
    <row r="11" spans="1:29" x14ac:dyDescent="0.25">
      <c r="A11" s="152" t="s">
        <v>15</v>
      </c>
      <c r="B11" s="152"/>
      <c r="C11" s="152"/>
      <c r="D11" s="153">
        <f>D9-46</f>
        <v>45721</v>
      </c>
      <c r="E11" s="153"/>
      <c r="F11" s="153"/>
      <c r="H11" s="13"/>
      <c r="I11" s="13"/>
    </row>
    <row r="12" spans="1:29" x14ac:dyDescent="0.25">
      <c r="A12" s="152" t="s">
        <v>16</v>
      </c>
      <c r="B12" s="152"/>
      <c r="C12" s="152"/>
      <c r="D12" s="153">
        <f>D9-2</f>
        <v>45765</v>
      </c>
      <c r="E12" s="153"/>
      <c r="F12" s="153"/>
    </row>
    <row r="13" spans="1:29" ht="15.75" customHeight="1" x14ac:dyDescent="0.25">
      <c r="A13" s="152" t="s">
        <v>17</v>
      </c>
      <c r="B13" s="152"/>
      <c r="C13" s="152"/>
      <c r="D13" s="153">
        <f>D9+60</f>
        <v>45827</v>
      </c>
      <c r="E13" s="153"/>
      <c r="F13" s="153"/>
    </row>
    <row r="14" spans="1:29" ht="15.75" customHeight="1" x14ac:dyDescent="0.25">
      <c r="D14" s="13"/>
      <c r="E14" s="13"/>
      <c r="F14" s="13"/>
    </row>
    <row r="15" spans="1:29" ht="24.75" customHeight="1" x14ac:dyDescent="0.25">
      <c r="A15" s="16"/>
      <c r="B15" s="16"/>
      <c r="C15" s="17" t="s">
        <v>18</v>
      </c>
      <c r="D15" s="18"/>
      <c r="E15" s="18"/>
      <c r="F15" s="18"/>
      <c r="G15" s="18"/>
      <c r="H15" s="18"/>
      <c r="I15" s="162">
        <v>2025</v>
      </c>
      <c r="J15" s="162"/>
      <c r="K15" s="162"/>
      <c r="N15" s="19" t="s">
        <v>19</v>
      </c>
    </row>
    <row r="16" spans="1:29" ht="17.25" customHeight="1" x14ac:dyDescent="0.25">
      <c r="A16" s="20"/>
      <c r="B16" s="20"/>
      <c r="C16" s="21" t="s">
        <v>20</v>
      </c>
      <c r="D16" s="22"/>
      <c r="E16" s="22"/>
      <c r="F16" s="22"/>
      <c r="G16" s="22"/>
      <c r="H16" s="18"/>
      <c r="I16" s="23"/>
      <c r="J16" s="23"/>
      <c r="K16" s="23"/>
    </row>
    <row r="17" spans="1:49" ht="7.5" customHeight="1" x14ac:dyDescent="0.25">
      <c r="A17" s="24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49" ht="19" x14ac:dyDescent="0.25">
      <c r="A18" s="26"/>
      <c r="B18" s="26"/>
      <c r="C18" s="27"/>
      <c r="D18" s="27"/>
      <c r="E18" s="27"/>
      <c r="F18" s="27"/>
      <c r="G18" s="27"/>
      <c r="H18" s="27"/>
      <c r="I18" s="27"/>
      <c r="J18" s="163" t="s">
        <v>21</v>
      </c>
      <c r="K18" s="163"/>
      <c r="L18" s="163"/>
      <c r="M18" s="163"/>
      <c r="N18" s="163"/>
      <c r="O18" s="163"/>
      <c r="P18" s="160">
        <f>I15</f>
        <v>2025</v>
      </c>
      <c r="Q18" s="160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49" x14ac:dyDescent="0.25">
      <c r="A19" s="28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9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49" s="32" customFormat="1" ht="18" customHeight="1" thickBot="1" x14ac:dyDescent="0.3">
      <c r="A20" s="30"/>
      <c r="B20" s="161" t="s">
        <v>22</v>
      </c>
      <c r="C20" s="161"/>
      <c r="D20" s="161"/>
      <c r="E20" s="161"/>
      <c r="F20" s="161"/>
      <c r="G20" s="161"/>
      <c r="H20" s="161"/>
      <c r="I20" s="161"/>
      <c r="J20" s="31"/>
      <c r="K20" s="32">
        <v>1</v>
      </c>
      <c r="S20" s="31"/>
      <c r="AB20" s="33"/>
      <c r="AC20" s="34"/>
    </row>
    <row r="21" spans="1:49" ht="18" customHeight="1" thickBot="1" x14ac:dyDescent="0.3">
      <c r="A21" s="35"/>
      <c r="B21" s="36" t="s">
        <v>23</v>
      </c>
      <c r="C21" s="37" t="s">
        <v>24</v>
      </c>
      <c r="D21" s="38" t="s">
        <v>25</v>
      </c>
      <c r="E21" s="39" t="s">
        <v>26</v>
      </c>
      <c r="F21" s="39" t="s">
        <v>27</v>
      </c>
      <c r="G21" s="39" t="s">
        <v>28</v>
      </c>
      <c r="H21" s="39" t="s">
        <v>29</v>
      </c>
      <c r="I21" s="40" t="s">
        <v>30</v>
      </c>
      <c r="J21" s="41" t="s">
        <v>24</v>
      </c>
      <c r="K21" s="38" t="s">
        <v>25</v>
      </c>
      <c r="L21" s="39" t="s">
        <v>26</v>
      </c>
      <c r="M21" s="39" t="s">
        <v>27</v>
      </c>
      <c r="N21" s="39" t="s">
        <v>28</v>
      </c>
      <c r="O21" s="39" t="s">
        <v>29</v>
      </c>
      <c r="P21" s="40" t="s">
        <v>30</v>
      </c>
      <c r="Q21" s="41" t="s">
        <v>24</v>
      </c>
      <c r="R21" s="38" t="s">
        <v>25</v>
      </c>
      <c r="S21" s="39" t="s">
        <v>26</v>
      </c>
      <c r="T21" s="39" t="s">
        <v>27</v>
      </c>
      <c r="U21" s="39" t="s">
        <v>28</v>
      </c>
      <c r="V21" s="39" t="s">
        <v>29</v>
      </c>
      <c r="W21" s="40" t="s">
        <v>30</v>
      </c>
      <c r="X21" s="41" t="s">
        <v>24</v>
      </c>
      <c r="Y21" s="38" t="s">
        <v>25</v>
      </c>
      <c r="Z21" s="39" t="s">
        <v>26</v>
      </c>
      <c r="AA21" s="39" t="s">
        <v>27</v>
      </c>
      <c r="AB21" s="39" t="s">
        <v>28</v>
      </c>
      <c r="AC21" s="39" t="s">
        <v>29</v>
      </c>
      <c r="AD21" s="40" t="s">
        <v>30</v>
      </c>
      <c r="AE21" s="41" t="s">
        <v>24</v>
      </c>
      <c r="AF21" s="38" t="s">
        <v>25</v>
      </c>
      <c r="AG21" s="39" t="s">
        <v>26</v>
      </c>
      <c r="AH21" s="39" t="s">
        <v>27</v>
      </c>
      <c r="AI21" s="39" t="s">
        <v>28</v>
      </c>
      <c r="AJ21" s="39" t="s">
        <v>29</v>
      </c>
      <c r="AK21" s="40" t="s">
        <v>30</v>
      </c>
      <c r="AL21" s="41" t="s">
        <v>24</v>
      </c>
      <c r="AM21" s="42" t="s">
        <v>25</v>
      </c>
      <c r="AN21" s="39" t="s">
        <v>26</v>
      </c>
      <c r="AO21" s="39" t="s">
        <v>27</v>
      </c>
      <c r="AP21" s="39" t="s">
        <v>28</v>
      </c>
      <c r="AQ21" s="39" t="s">
        <v>29</v>
      </c>
      <c r="AR21" s="41" t="s">
        <v>30</v>
      </c>
      <c r="AS21" s="43" t="s">
        <v>32</v>
      </c>
      <c r="AT21" s="44" t="s">
        <v>65</v>
      </c>
      <c r="AU21" s="45" t="s">
        <v>33</v>
      </c>
      <c r="AV21" s="46" t="s">
        <v>34</v>
      </c>
      <c r="AW21" s="7" t="s">
        <v>35</v>
      </c>
    </row>
    <row r="22" spans="1:49" ht="18" customHeight="1" thickBot="1" x14ac:dyDescent="0.3">
      <c r="A22" s="47"/>
      <c r="B22" s="48"/>
      <c r="C22" s="49">
        <f>IF($C$3=1,1,0)</f>
        <v>0</v>
      </c>
      <c r="D22" s="50">
        <f>IF($D$3=1,1, IF(C22&gt;0,C22+1, 0))</f>
        <v>0</v>
      </c>
      <c r="E22" s="51">
        <f>IF($E$3=1,1, IF(D22&gt;0,D22+1, 0))</f>
        <v>0</v>
      </c>
      <c r="F22" s="51">
        <f>IF($F$3=1,1, IF(E22&gt;0,E22+1, 0))</f>
        <v>1</v>
      </c>
      <c r="G22" s="51">
        <f>IF($G$3=1,1, IF(F22&gt;0,F22+1, 0))</f>
        <v>2</v>
      </c>
      <c r="H22" s="52">
        <f>IF($H$3=1,1, IF(G22&gt;0,G22+1, 0))</f>
        <v>3</v>
      </c>
      <c r="I22" s="53">
        <f>IF($I$3=1,1, IF(H22&gt;0,H22+1, 0))</f>
        <v>4</v>
      </c>
      <c r="J22" s="54">
        <f t="shared" ref="J22:AR22" si="0">IF(AND(I22&gt;0,I22&lt;31),I22+1,0)</f>
        <v>5</v>
      </c>
      <c r="K22" s="50">
        <f t="shared" si="0"/>
        <v>6</v>
      </c>
      <c r="L22" s="51">
        <f t="shared" si="0"/>
        <v>7</v>
      </c>
      <c r="M22" s="51">
        <f t="shared" si="0"/>
        <v>8</v>
      </c>
      <c r="N22" s="51">
        <f t="shared" si="0"/>
        <v>9</v>
      </c>
      <c r="O22" s="52">
        <f t="shared" si="0"/>
        <v>10</v>
      </c>
      <c r="P22" s="53">
        <f t="shared" si="0"/>
        <v>11</v>
      </c>
      <c r="Q22" s="54">
        <f t="shared" si="0"/>
        <v>12</v>
      </c>
      <c r="R22" s="50">
        <f t="shared" si="0"/>
        <v>13</v>
      </c>
      <c r="S22" s="51">
        <f t="shared" si="0"/>
        <v>14</v>
      </c>
      <c r="T22" s="51">
        <f t="shared" si="0"/>
        <v>15</v>
      </c>
      <c r="U22" s="51">
        <f t="shared" si="0"/>
        <v>16</v>
      </c>
      <c r="V22" s="52">
        <f t="shared" si="0"/>
        <v>17</v>
      </c>
      <c r="W22" s="53">
        <f t="shared" si="0"/>
        <v>18</v>
      </c>
      <c r="X22" s="54">
        <f t="shared" si="0"/>
        <v>19</v>
      </c>
      <c r="Y22" s="50">
        <f>IF(AND(X22&gt;0,X22&lt;31),X22+1,0)</f>
        <v>20</v>
      </c>
      <c r="Z22" s="51">
        <f t="shared" si="0"/>
        <v>21</v>
      </c>
      <c r="AA22" s="51">
        <f t="shared" si="0"/>
        <v>22</v>
      </c>
      <c r="AB22" s="51">
        <f t="shared" si="0"/>
        <v>23</v>
      </c>
      <c r="AC22" s="52">
        <f t="shared" si="0"/>
        <v>24</v>
      </c>
      <c r="AD22" s="53">
        <f t="shared" si="0"/>
        <v>25</v>
      </c>
      <c r="AE22" s="54">
        <f t="shared" si="0"/>
        <v>26</v>
      </c>
      <c r="AF22" s="50">
        <f t="shared" si="0"/>
        <v>27</v>
      </c>
      <c r="AG22" s="51">
        <f t="shared" si="0"/>
        <v>28</v>
      </c>
      <c r="AH22" s="51">
        <f t="shared" si="0"/>
        <v>29</v>
      </c>
      <c r="AI22" s="51">
        <f t="shared" si="0"/>
        <v>30</v>
      </c>
      <c r="AJ22" s="52">
        <f t="shared" si="0"/>
        <v>31</v>
      </c>
      <c r="AK22" s="53">
        <f t="shared" si="0"/>
        <v>0</v>
      </c>
      <c r="AL22" s="54">
        <f t="shared" si="0"/>
        <v>0</v>
      </c>
      <c r="AM22" s="55">
        <f t="shared" si="0"/>
        <v>0</v>
      </c>
      <c r="AN22" s="51">
        <f t="shared" si="0"/>
        <v>0</v>
      </c>
      <c r="AO22" s="51">
        <f t="shared" si="0"/>
        <v>0</v>
      </c>
      <c r="AP22" s="51">
        <f t="shared" si="0"/>
        <v>0</v>
      </c>
      <c r="AQ22" s="52">
        <f t="shared" si="0"/>
        <v>0</v>
      </c>
      <c r="AR22" s="56">
        <f t="shared" si="0"/>
        <v>0</v>
      </c>
    </row>
    <row r="23" spans="1:49" ht="18" customHeight="1" x14ac:dyDescent="0.25">
      <c r="A23" s="47"/>
      <c r="B23" s="57" t="s">
        <v>79</v>
      </c>
      <c r="C23" s="58"/>
      <c r="D23" s="59"/>
      <c r="E23" s="60"/>
      <c r="F23" s="60"/>
      <c r="G23" s="60"/>
      <c r="H23" s="60"/>
      <c r="I23" s="60"/>
      <c r="J23" s="62"/>
      <c r="K23" s="63"/>
      <c r="L23" s="60"/>
      <c r="M23" s="60"/>
      <c r="N23" s="60"/>
      <c r="O23" s="64"/>
      <c r="P23" s="65"/>
      <c r="Q23" s="62"/>
      <c r="R23" s="63"/>
      <c r="S23" s="60"/>
      <c r="T23" s="60"/>
      <c r="U23" s="60"/>
      <c r="V23" s="64"/>
      <c r="W23" s="65"/>
      <c r="X23" s="62"/>
      <c r="Y23" s="63"/>
      <c r="Z23" s="60"/>
      <c r="AA23" s="60"/>
      <c r="AB23" s="60"/>
      <c r="AC23" s="64"/>
      <c r="AD23" s="65"/>
      <c r="AE23" s="62"/>
      <c r="AF23" s="63"/>
      <c r="AG23" s="60"/>
      <c r="AH23" s="60"/>
      <c r="AI23" s="60"/>
      <c r="AJ23" s="64"/>
      <c r="AK23" s="65"/>
      <c r="AL23" s="62"/>
      <c r="AM23" s="66"/>
      <c r="AN23" s="60"/>
      <c r="AO23" s="60"/>
      <c r="AP23" s="60"/>
      <c r="AQ23" s="64"/>
      <c r="AR23" s="67"/>
      <c r="AS23" s="68">
        <f>COUNTIF($C23:$AR23,AS$21)</f>
        <v>0</v>
      </c>
      <c r="AT23" s="69">
        <f t="shared" ref="AS23:AW26" si="1">COUNTIF($C23:$AR23,AT$21)</f>
        <v>0</v>
      </c>
      <c r="AU23" s="69">
        <f t="shared" si="1"/>
        <v>0</v>
      </c>
      <c r="AV23" s="70">
        <f t="shared" si="1"/>
        <v>0</v>
      </c>
      <c r="AW23" s="7">
        <f>COUNTIF($C23:$AR23,AW$21)</f>
        <v>0</v>
      </c>
    </row>
    <row r="24" spans="1:49" ht="18" customHeight="1" x14ac:dyDescent="0.25">
      <c r="A24" s="47"/>
      <c r="B24" s="57" t="s">
        <v>77</v>
      </c>
      <c r="C24" s="71"/>
      <c r="D24" s="59"/>
      <c r="E24" s="72"/>
      <c r="F24" s="72"/>
      <c r="G24" s="73"/>
      <c r="H24" s="72"/>
      <c r="I24" s="73"/>
      <c r="J24" s="74"/>
      <c r="K24" s="59"/>
      <c r="L24" s="72"/>
      <c r="M24" s="72"/>
      <c r="N24" s="73"/>
      <c r="O24" s="75"/>
      <c r="P24" s="76"/>
      <c r="Q24" s="74"/>
      <c r="R24" s="59"/>
      <c r="S24" s="72"/>
      <c r="T24" s="72"/>
      <c r="U24" s="72"/>
      <c r="V24" s="75"/>
      <c r="W24" s="76"/>
      <c r="X24" s="74"/>
      <c r="Y24" s="59"/>
      <c r="Z24" s="72"/>
      <c r="AA24" s="72"/>
      <c r="AB24" s="72"/>
      <c r="AC24" s="75"/>
      <c r="AD24" s="76"/>
      <c r="AE24" s="74"/>
      <c r="AF24" s="59"/>
      <c r="AG24" s="72"/>
      <c r="AH24" s="72"/>
      <c r="AI24" s="72"/>
      <c r="AJ24" s="75"/>
      <c r="AK24" s="76"/>
      <c r="AL24" s="74"/>
      <c r="AM24" s="77"/>
      <c r="AN24" s="72"/>
      <c r="AO24" s="72"/>
      <c r="AP24" s="72"/>
      <c r="AQ24" s="75"/>
      <c r="AR24" s="78"/>
      <c r="AS24" s="79">
        <f t="shared" si="1"/>
        <v>0</v>
      </c>
      <c r="AT24" s="80">
        <f t="shared" si="1"/>
        <v>0</v>
      </c>
      <c r="AU24" s="80">
        <f t="shared" si="1"/>
        <v>0</v>
      </c>
      <c r="AV24" s="81">
        <f t="shared" si="1"/>
        <v>0</v>
      </c>
      <c r="AW24" s="7">
        <f>COUNTIF($C24:$AR24,AW$21)</f>
        <v>0</v>
      </c>
    </row>
    <row r="25" spans="1:49" ht="18" customHeight="1" x14ac:dyDescent="0.25">
      <c r="A25" s="47"/>
      <c r="B25" s="57" t="s">
        <v>78</v>
      </c>
      <c r="C25" s="82"/>
      <c r="D25" s="59"/>
      <c r="E25" s="72"/>
      <c r="F25" s="83"/>
      <c r="G25" s="83"/>
      <c r="H25" s="83"/>
      <c r="I25" s="83"/>
      <c r="J25" s="74"/>
      <c r="K25" s="72"/>
      <c r="L25" s="72"/>
      <c r="M25" s="83"/>
      <c r="N25" s="83"/>
      <c r="O25" s="83"/>
      <c r="P25" s="76"/>
      <c r="Q25" s="74"/>
      <c r="R25" s="59"/>
      <c r="S25" s="83"/>
      <c r="T25" s="72"/>
      <c r="U25" s="72"/>
      <c r="V25" s="75"/>
      <c r="W25" s="76"/>
      <c r="X25" s="74"/>
      <c r="Y25" s="59"/>
      <c r="Z25" s="72"/>
      <c r="AA25" s="72"/>
      <c r="AB25" s="72"/>
      <c r="AC25" s="72"/>
      <c r="AD25" s="76"/>
      <c r="AE25" s="74"/>
      <c r="AF25" s="59"/>
      <c r="AG25" s="72"/>
      <c r="AH25" s="72"/>
      <c r="AI25" s="72"/>
      <c r="AJ25" s="75"/>
      <c r="AK25" s="76"/>
      <c r="AL25" s="74"/>
      <c r="AM25" s="77"/>
      <c r="AN25" s="72"/>
      <c r="AO25" s="72"/>
      <c r="AP25" s="72"/>
      <c r="AQ25" s="75"/>
      <c r="AR25" s="84"/>
      <c r="AS25" s="79">
        <f t="shared" si="1"/>
        <v>0</v>
      </c>
      <c r="AT25" s="80">
        <f t="shared" si="1"/>
        <v>0</v>
      </c>
      <c r="AU25" s="80">
        <f t="shared" si="1"/>
        <v>0</v>
      </c>
      <c r="AV25" s="81">
        <f t="shared" si="1"/>
        <v>0</v>
      </c>
      <c r="AW25" s="7">
        <f t="shared" si="1"/>
        <v>0</v>
      </c>
    </row>
    <row r="26" spans="1:49" ht="18" customHeight="1" thickBot="1" x14ac:dyDescent="0.3">
      <c r="A26" s="47"/>
      <c r="B26" s="89"/>
      <c r="C26" s="90"/>
      <c r="D26" s="91"/>
      <c r="E26" s="92"/>
      <c r="F26" s="92"/>
      <c r="G26" s="92"/>
      <c r="H26" s="92"/>
      <c r="I26" s="92"/>
      <c r="J26" s="93"/>
      <c r="K26" s="91"/>
      <c r="L26" s="92"/>
      <c r="M26" s="92"/>
      <c r="N26" s="92"/>
      <c r="O26" s="92"/>
      <c r="P26" s="94"/>
      <c r="Q26" s="93"/>
      <c r="R26" s="91"/>
      <c r="S26" s="95"/>
      <c r="T26" s="95"/>
      <c r="U26" s="95"/>
      <c r="V26" s="92"/>
      <c r="W26" s="94"/>
      <c r="X26" s="93"/>
      <c r="Y26" s="96"/>
      <c r="Z26" s="95"/>
      <c r="AA26" s="95"/>
      <c r="AB26" s="95"/>
      <c r="AC26" s="92"/>
      <c r="AD26" s="94"/>
      <c r="AE26" s="93"/>
      <c r="AF26" s="91"/>
      <c r="AG26" s="95"/>
      <c r="AH26" s="95"/>
      <c r="AI26" s="95"/>
      <c r="AJ26" s="97"/>
      <c r="AK26" s="94"/>
      <c r="AL26" s="93"/>
      <c r="AM26" s="98"/>
      <c r="AN26" s="95"/>
      <c r="AO26" s="95"/>
      <c r="AP26" s="95"/>
      <c r="AQ26" s="97"/>
      <c r="AR26" s="99"/>
      <c r="AS26" s="100">
        <f t="shared" si="1"/>
        <v>0</v>
      </c>
      <c r="AT26" s="101">
        <f t="shared" si="1"/>
        <v>0</v>
      </c>
      <c r="AU26" s="101">
        <f t="shared" si="1"/>
        <v>0</v>
      </c>
      <c r="AV26" s="102">
        <f t="shared" si="1"/>
        <v>0</v>
      </c>
      <c r="AW26" s="7">
        <f t="shared" si="1"/>
        <v>0</v>
      </c>
    </row>
    <row r="27" spans="1:49" ht="18" customHeight="1" x14ac:dyDescent="0.25">
      <c r="A27" s="47"/>
      <c r="B27" s="103"/>
      <c r="C27" s="25"/>
      <c r="D27" s="25"/>
      <c r="E27" s="25"/>
      <c r="F27" s="25"/>
      <c r="G27" s="25"/>
      <c r="H27" s="25"/>
      <c r="I27" s="25"/>
      <c r="J27" s="103"/>
      <c r="K27" s="103"/>
      <c r="L27" s="25"/>
      <c r="M27" s="25"/>
      <c r="N27" s="25"/>
      <c r="O27" s="25"/>
      <c r="P27" s="25"/>
      <c r="Q27" s="25"/>
      <c r="R27" s="25"/>
      <c r="S27" s="103"/>
      <c r="T27" s="103"/>
      <c r="U27" s="25"/>
      <c r="V27" s="25"/>
      <c r="W27" s="25"/>
      <c r="X27" s="25"/>
      <c r="Y27" s="25"/>
      <c r="Z27" s="25"/>
      <c r="AA27" s="25"/>
      <c r="AB27" s="25"/>
    </row>
    <row r="28" spans="1:49" ht="18" customHeight="1" thickBot="1" x14ac:dyDescent="0.3">
      <c r="A28" s="47"/>
      <c r="B28" s="161" t="s">
        <v>36</v>
      </c>
      <c r="C28" s="161"/>
      <c r="D28" s="161"/>
      <c r="E28" s="161"/>
      <c r="F28" s="161"/>
      <c r="G28" s="161"/>
      <c r="H28" s="161"/>
      <c r="I28" s="161"/>
      <c r="J28" s="103"/>
      <c r="K28" s="103">
        <v>2</v>
      </c>
      <c r="L28" s="25"/>
      <c r="M28" s="25"/>
      <c r="N28" s="25"/>
      <c r="O28" s="25"/>
      <c r="P28" s="25"/>
      <c r="Q28" s="25"/>
      <c r="R28" s="25"/>
      <c r="S28" s="103"/>
      <c r="T28" s="103"/>
      <c r="U28" s="25"/>
      <c r="V28" s="25"/>
      <c r="W28" s="25"/>
      <c r="X28" s="25"/>
      <c r="Y28" s="25"/>
      <c r="Z28" s="25"/>
      <c r="AA28" s="25"/>
      <c r="AB28" s="104"/>
      <c r="AC28" s="105"/>
    </row>
    <row r="29" spans="1:49" ht="18" customHeight="1" thickBot="1" x14ac:dyDescent="0.3">
      <c r="A29" s="47"/>
      <c r="B29" s="36" t="s">
        <v>23</v>
      </c>
      <c r="C29" s="37" t="s">
        <v>24</v>
      </c>
      <c r="D29" s="42" t="s">
        <v>25</v>
      </c>
      <c r="E29" s="39" t="s">
        <v>26</v>
      </c>
      <c r="F29" s="39" t="s">
        <v>27</v>
      </c>
      <c r="G29" s="39" t="s">
        <v>28</v>
      </c>
      <c r="H29" s="39" t="s">
        <v>29</v>
      </c>
      <c r="I29" s="40" t="s">
        <v>30</v>
      </c>
      <c r="J29" s="106" t="s">
        <v>24</v>
      </c>
      <c r="K29" s="38" t="s">
        <v>25</v>
      </c>
      <c r="L29" s="39" t="s">
        <v>26</v>
      </c>
      <c r="M29" s="39" t="s">
        <v>27</v>
      </c>
      <c r="N29" s="39" t="s">
        <v>28</v>
      </c>
      <c r="O29" s="39" t="s">
        <v>29</v>
      </c>
      <c r="P29" s="40" t="s">
        <v>30</v>
      </c>
      <c r="Q29" s="41" t="s">
        <v>24</v>
      </c>
      <c r="R29" s="42" t="s">
        <v>25</v>
      </c>
      <c r="S29" s="39" t="s">
        <v>26</v>
      </c>
      <c r="T29" s="39" t="s">
        <v>27</v>
      </c>
      <c r="U29" s="39" t="s">
        <v>28</v>
      </c>
      <c r="V29" s="39" t="s">
        <v>29</v>
      </c>
      <c r="W29" s="40" t="s">
        <v>30</v>
      </c>
      <c r="X29" s="106" t="s">
        <v>24</v>
      </c>
      <c r="Y29" s="38" t="s">
        <v>25</v>
      </c>
      <c r="Z29" s="39" t="s">
        <v>26</v>
      </c>
      <c r="AA29" s="39" t="s">
        <v>27</v>
      </c>
      <c r="AB29" s="39" t="s">
        <v>28</v>
      </c>
      <c r="AC29" s="39" t="s">
        <v>29</v>
      </c>
      <c r="AD29" s="40" t="s">
        <v>30</v>
      </c>
      <c r="AE29" s="41" t="s">
        <v>24</v>
      </c>
      <c r="AF29" s="42" t="s">
        <v>25</v>
      </c>
      <c r="AG29" s="39" t="s">
        <v>26</v>
      </c>
      <c r="AH29" s="39" t="s">
        <v>27</v>
      </c>
      <c r="AI29" s="39" t="s">
        <v>28</v>
      </c>
      <c r="AJ29" s="39" t="s">
        <v>29</v>
      </c>
      <c r="AK29" s="40" t="s">
        <v>30</v>
      </c>
      <c r="AL29" s="106" t="s">
        <v>24</v>
      </c>
      <c r="AM29" s="38" t="s">
        <v>25</v>
      </c>
      <c r="AN29" s="39" t="s">
        <v>26</v>
      </c>
      <c r="AO29" s="39" t="s">
        <v>27</v>
      </c>
      <c r="AP29" s="39" t="s">
        <v>28</v>
      </c>
      <c r="AQ29" s="39" t="s">
        <v>29</v>
      </c>
      <c r="AR29" s="41" t="s">
        <v>30</v>
      </c>
      <c r="AS29" s="45" t="str">
        <f>+AS21</f>
        <v>F25</v>
      </c>
      <c r="AT29" s="45" t="str">
        <f>+AT21</f>
        <v>F24</v>
      </c>
      <c r="AU29" s="45" t="str">
        <f>+AU21</f>
        <v>DFT</v>
      </c>
      <c r="AV29" s="46" t="s">
        <v>34</v>
      </c>
      <c r="AW29" s="7" t="s">
        <v>35</v>
      </c>
    </row>
    <row r="30" spans="1:49" ht="18" customHeight="1" thickBot="1" x14ac:dyDescent="0.3">
      <c r="A30" s="47"/>
      <c r="B30" s="48"/>
      <c r="C30" s="49">
        <f>IF($L$3=1,1,0)</f>
        <v>0</v>
      </c>
      <c r="D30" s="55">
        <f>IF($M$3=1,1, IF(C30&gt;0,C30+1, 0))</f>
        <v>0</v>
      </c>
      <c r="E30" s="51">
        <f>IF($N$3=1,1, IF(D30&gt;0,D30+1, 0))</f>
        <v>0</v>
      </c>
      <c r="F30" s="51">
        <f>IF($O$3=1,1, IF(E30&gt;0,E30+1, 0))</f>
        <v>0</v>
      </c>
      <c r="G30" s="51">
        <f>IF($P$3=1,1, IF(F30&gt;0,F30+1, 0))</f>
        <v>0</v>
      </c>
      <c r="H30" s="52">
        <f>IF($Q$3=1,1, IF(G30&gt;0,G30+1, 0))</f>
        <v>0</v>
      </c>
      <c r="I30" s="53">
        <f>IF($R$3=1,1, IF(H30&gt;0,H30+1, 0))</f>
        <v>1</v>
      </c>
      <c r="J30" s="107">
        <f t="shared" ref="J30:AR30" si="2">IF(AND(I30&gt;0,I30&lt;$L$2),I30+1,0)</f>
        <v>2</v>
      </c>
      <c r="K30" s="50">
        <f t="shared" si="2"/>
        <v>3</v>
      </c>
      <c r="L30" s="51">
        <f t="shared" si="2"/>
        <v>4</v>
      </c>
      <c r="M30" s="51">
        <f t="shared" si="2"/>
        <v>5</v>
      </c>
      <c r="N30" s="51">
        <f t="shared" si="2"/>
        <v>6</v>
      </c>
      <c r="O30" s="52">
        <f t="shared" si="2"/>
        <v>7</v>
      </c>
      <c r="P30" s="53">
        <f t="shared" si="2"/>
        <v>8</v>
      </c>
      <c r="Q30" s="54">
        <f t="shared" si="2"/>
        <v>9</v>
      </c>
      <c r="R30" s="55">
        <f t="shared" si="2"/>
        <v>10</v>
      </c>
      <c r="S30" s="51">
        <f t="shared" si="2"/>
        <v>11</v>
      </c>
      <c r="T30" s="51">
        <f t="shared" si="2"/>
        <v>12</v>
      </c>
      <c r="U30" s="51">
        <f t="shared" si="2"/>
        <v>13</v>
      </c>
      <c r="V30" s="52">
        <f t="shared" si="2"/>
        <v>14</v>
      </c>
      <c r="W30" s="53">
        <f t="shared" si="2"/>
        <v>15</v>
      </c>
      <c r="X30" s="107">
        <f t="shared" si="2"/>
        <v>16</v>
      </c>
      <c r="Y30" s="50">
        <f>IF(AND(X30&gt;0,X30&lt;$L$2),X30+1,0)</f>
        <v>17</v>
      </c>
      <c r="Z30" s="51">
        <f t="shared" si="2"/>
        <v>18</v>
      </c>
      <c r="AA30" s="51">
        <f t="shared" si="2"/>
        <v>19</v>
      </c>
      <c r="AB30" s="51">
        <f t="shared" si="2"/>
        <v>20</v>
      </c>
      <c r="AC30" s="52">
        <f t="shared" si="2"/>
        <v>21</v>
      </c>
      <c r="AD30" s="53">
        <f t="shared" si="2"/>
        <v>22</v>
      </c>
      <c r="AE30" s="54">
        <f t="shared" si="2"/>
        <v>23</v>
      </c>
      <c r="AF30" s="55">
        <f t="shared" si="2"/>
        <v>24</v>
      </c>
      <c r="AG30" s="51">
        <f t="shared" si="2"/>
        <v>25</v>
      </c>
      <c r="AH30" s="51">
        <f t="shared" si="2"/>
        <v>26</v>
      </c>
      <c r="AI30" s="51">
        <f t="shared" si="2"/>
        <v>27</v>
      </c>
      <c r="AJ30" s="52">
        <f t="shared" si="2"/>
        <v>28</v>
      </c>
      <c r="AK30" s="53">
        <f t="shared" si="2"/>
        <v>0</v>
      </c>
      <c r="AL30" s="108">
        <f t="shared" si="2"/>
        <v>0</v>
      </c>
      <c r="AM30" s="50">
        <f t="shared" si="2"/>
        <v>0</v>
      </c>
      <c r="AN30" s="51">
        <f t="shared" si="2"/>
        <v>0</v>
      </c>
      <c r="AO30" s="51">
        <f t="shared" si="2"/>
        <v>0</v>
      </c>
      <c r="AP30" s="51">
        <f t="shared" si="2"/>
        <v>0</v>
      </c>
      <c r="AQ30" s="52">
        <f t="shared" si="2"/>
        <v>0</v>
      </c>
      <c r="AR30" s="56">
        <f t="shared" si="2"/>
        <v>0</v>
      </c>
    </row>
    <row r="31" spans="1:49" ht="18" customHeight="1" x14ac:dyDescent="0.25">
      <c r="A31" s="47"/>
      <c r="B31" s="109" t="str">
        <f>+$B$23</f>
        <v xml:space="preserve">Pedro </v>
      </c>
      <c r="C31" s="58"/>
      <c r="D31" s="66"/>
      <c r="E31" s="60"/>
      <c r="F31" s="60"/>
      <c r="G31" s="60"/>
      <c r="H31" s="75"/>
      <c r="I31" s="76"/>
      <c r="J31" s="78"/>
      <c r="K31" s="59"/>
      <c r="L31" s="72"/>
      <c r="M31" s="72"/>
      <c r="N31" s="72"/>
      <c r="O31" s="75"/>
      <c r="P31" s="76"/>
      <c r="Q31" s="62"/>
      <c r="R31" s="72"/>
      <c r="S31" s="72"/>
      <c r="T31" s="72"/>
      <c r="U31" s="72"/>
      <c r="V31" s="75"/>
      <c r="W31" s="65"/>
      <c r="X31" s="67"/>
      <c r="Y31" s="63"/>
      <c r="Z31" s="60"/>
      <c r="AA31" s="60"/>
      <c r="AB31" s="60"/>
      <c r="AC31" s="64"/>
      <c r="AD31" s="65"/>
      <c r="AE31" s="62"/>
      <c r="AF31" s="66"/>
      <c r="AG31" s="72"/>
      <c r="AH31" s="60"/>
      <c r="AI31" s="60"/>
      <c r="AJ31" s="64"/>
      <c r="AK31" s="65"/>
      <c r="AL31" s="67"/>
      <c r="AM31" s="63"/>
      <c r="AN31" s="60"/>
      <c r="AO31" s="60"/>
      <c r="AP31" s="60"/>
      <c r="AQ31" s="64"/>
      <c r="AR31" s="62"/>
      <c r="AS31" s="68">
        <f t="shared" ref="AS31:AW34" si="3">COUNTIF($C31:$AR31,AS$21)</f>
        <v>0</v>
      </c>
      <c r="AT31" s="69">
        <f t="shared" si="3"/>
        <v>0</v>
      </c>
      <c r="AU31" s="69">
        <f t="shared" si="3"/>
        <v>0</v>
      </c>
      <c r="AV31" s="70">
        <f t="shared" si="3"/>
        <v>0</v>
      </c>
      <c r="AW31" s="7">
        <f>COUNTIF($C31:$AR31,AW$21)</f>
        <v>0</v>
      </c>
    </row>
    <row r="32" spans="1:49" ht="18" customHeight="1" x14ac:dyDescent="0.25">
      <c r="A32" s="47"/>
      <c r="B32" s="57" t="str">
        <f>+$B$24</f>
        <v>Miguel</v>
      </c>
      <c r="C32" s="71"/>
      <c r="D32" s="77"/>
      <c r="E32" s="72"/>
      <c r="F32" s="72"/>
      <c r="G32" s="72"/>
      <c r="H32" s="75"/>
      <c r="I32" s="76"/>
      <c r="J32" s="78"/>
      <c r="K32" s="59"/>
      <c r="L32" s="72"/>
      <c r="M32" s="72"/>
      <c r="N32" s="72"/>
      <c r="O32" s="75"/>
      <c r="P32" s="76"/>
      <c r="Q32" s="74"/>
      <c r="R32" s="72"/>
      <c r="S32" s="72"/>
      <c r="T32" s="72"/>
      <c r="U32" s="72"/>
      <c r="V32" s="75"/>
      <c r="W32" s="76"/>
      <c r="X32" s="78"/>
      <c r="Y32" s="59"/>
      <c r="Z32" s="72"/>
      <c r="AA32" s="72"/>
      <c r="AB32" s="72"/>
      <c r="AC32" s="75"/>
      <c r="AD32" s="76"/>
      <c r="AE32" s="74"/>
      <c r="AF32" s="77"/>
      <c r="AG32" s="72"/>
      <c r="AH32" s="72"/>
      <c r="AI32" s="72"/>
      <c r="AJ32" s="75"/>
      <c r="AK32" s="76"/>
      <c r="AL32" s="78"/>
      <c r="AM32" s="59"/>
      <c r="AN32" s="72"/>
      <c r="AO32" s="72"/>
      <c r="AP32" s="72"/>
      <c r="AQ32" s="75"/>
      <c r="AR32" s="74"/>
      <c r="AS32" s="79">
        <f t="shared" si="3"/>
        <v>0</v>
      </c>
      <c r="AT32" s="80">
        <f t="shared" si="3"/>
        <v>0</v>
      </c>
      <c r="AU32" s="80">
        <f t="shared" si="3"/>
        <v>0</v>
      </c>
      <c r="AV32" s="81">
        <f t="shared" si="3"/>
        <v>0</v>
      </c>
      <c r="AW32" s="7">
        <f>COUNTIF($C32:$AR32,AW$21)</f>
        <v>0</v>
      </c>
    </row>
    <row r="33" spans="1:49" ht="18" customHeight="1" x14ac:dyDescent="0.25">
      <c r="A33" s="47"/>
      <c r="B33" s="57" t="str">
        <f>+$B$25</f>
        <v>Gichelson</v>
      </c>
      <c r="C33" s="82"/>
      <c r="D33" s="77"/>
      <c r="E33" s="72"/>
      <c r="F33" s="72"/>
      <c r="G33" s="72"/>
      <c r="H33" s="75"/>
      <c r="I33" s="76"/>
      <c r="J33" s="78"/>
      <c r="K33" s="59"/>
      <c r="L33" s="72"/>
      <c r="M33" s="72"/>
      <c r="N33" s="72"/>
      <c r="O33" s="72"/>
      <c r="P33" s="76"/>
      <c r="Q33" s="74"/>
      <c r="R33" s="77"/>
      <c r="S33" s="72"/>
      <c r="T33" s="72"/>
      <c r="U33" s="72"/>
      <c r="V33" s="75"/>
      <c r="W33" s="76"/>
      <c r="X33" s="78"/>
      <c r="Y33" s="59"/>
      <c r="Z33" s="72"/>
      <c r="AA33" s="72"/>
      <c r="AB33" s="72"/>
      <c r="AC33" s="75"/>
      <c r="AD33" s="76"/>
      <c r="AE33" s="74"/>
      <c r="AF33" s="77"/>
      <c r="AG33" s="72"/>
      <c r="AH33" s="72"/>
      <c r="AI33" s="75"/>
      <c r="AJ33" s="75"/>
      <c r="AK33" s="76"/>
      <c r="AL33" s="78"/>
      <c r="AM33" s="59"/>
      <c r="AN33" s="110"/>
      <c r="AO33" s="110"/>
      <c r="AP33" s="110"/>
      <c r="AQ33" s="111"/>
      <c r="AR33" s="112"/>
      <c r="AS33" s="79">
        <f t="shared" si="3"/>
        <v>0</v>
      </c>
      <c r="AT33" s="80">
        <f t="shared" si="3"/>
        <v>0</v>
      </c>
      <c r="AU33" s="80">
        <f t="shared" si="3"/>
        <v>0</v>
      </c>
      <c r="AV33" s="81">
        <f t="shared" si="3"/>
        <v>0</v>
      </c>
      <c r="AW33" s="7">
        <f t="shared" si="3"/>
        <v>0</v>
      </c>
    </row>
    <row r="34" spans="1:49" ht="18" customHeight="1" thickBot="1" x14ac:dyDescent="0.3">
      <c r="A34" s="47"/>
      <c r="B34" s="89"/>
      <c r="C34" s="90"/>
      <c r="D34" s="98"/>
      <c r="E34" s="95"/>
      <c r="F34" s="95"/>
      <c r="G34" s="95"/>
      <c r="H34" s="97"/>
      <c r="I34" s="94"/>
      <c r="J34" s="115"/>
      <c r="K34" s="96"/>
      <c r="L34" s="95"/>
      <c r="M34" s="95"/>
      <c r="N34" s="95"/>
      <c r="O34" s="92"/>
      <c r="P34" s="94"/>
      <c r="Q34" s="93"/>
      <c r="R34" s="91"/>
      <c r="S34" s="92"/>
      <c r="T34" s="92"/>
      <c r="U34" s="95"/>
      <c r="V34" s="92"/>
      <c r="W34" s="94"/>
      <c r="X34" s="93"/>
      <c r="Y34" s="91"/>
      <c r="Z34" s="95"/>
      <c r="AA34" s="95"/>
      <c r="AB34" s="95"/>
      <c r="AC34" s="92"/>
      <c r="AD34" s="94"/>
      <c r="AE34" s="93"/>
      <c r="AF34" s="98"/>
      <c r="AG34" s="95"/>
      <c r="AH34" s="95"/>
      <c r="AI34" s="92"/>
      <c r="AJ34" s="97"/>
      <c r="AK34" s="94"/>
      <c r="AL34" s="115"/>
      <c r="AM34" s="96"/>
      <c r="AN34" s="116"/>
      <c r="AO34" s="116"/>
      <c r="AP34" s="116"/>
      <c r="AQ34" s="117"/>
      <c r="AR34" s="118"/>
      <c r="AS34" s="100">
        <f t="shared" si="3"/>
        <v>0</v>
      </c>
      <c r="AT34" s="101">
        <f t="shared" si="3"/>
        <v>0</v>
      </c>
      <c r="AU34" s="101">
        <f t="shared" si="3"/>
        <v>0</v>
      </c>
      <c r="AV34" s="102">
        <f t="shared" si="3"/>
        <v>0</v>
      </c>
      <c r="AW34" s="7">
        <f t="shared" si="3"/>
        <v>0</v>
      </c>
    </row>
    <row r="35" spans="1:49" ht="18" customHeight="1" x14ac:dyDescent="0.25">
      <c r="A35" s="47"/>
      <c r="B35" s="103"/>
      <c r="C35" s="25"/>
      <c r="D35" s="25"/>
      <c r="E35" s="25"/>
      <c r="F35" s="25"/>
      <c r="G35" s="25"/>
      <c r="H35" s="25"/>
      <c r="I35" s="25"/>
      <c r="J35" s="103"/>
      <c r="K35" s="103"/>
      <c r="L35" s="25"/>
      <c r="M35" s="25"/>
      <c r="N35" s="25"/>
      <c r="O35" s="25"/>
      <c r="P35" s="25"/>
      <c r="Q35" s="25"/>
      <c r="R35" s="25"/>
      <c r="S35" s="103"/>
      <c r="T35" s="103"/>
      <c r="U35" s="25"/>
      <c r="V35" s="25"/>
      <c r="W35" s="25"/>
      <c r="X35" s="25"/>
      <c r="Y35" s="25"/>
      <c r="Z35" s="25"/>
      <c r="AA35" s="25"/>
      <c r="AB35" s="25"/>
    </row>
    <row r="36" spans="1:49" ht="18" customHeight="1" thickBot="1" x14ac:dyDescent="0.3">
      <c r="A36" s="47"/>
      <c r="B36" s="161" t="s">
        <v>38</v>
      </c>
      <c r="C36" s="161"/>
      <c r="D36" s="161"/>
      <c r="E36" s="161"/>
      <c r="F36" s="161"/>
      <c r="G36" s="161"/>
      <c r="H36" s="161"/>
      <c r="I36" s="161"/>
      <c r="J36" s="103"/>
      <c r="K36" s="103">
        <v>3</v>
      </c>
      <c r="L36" s="25"/>
      <c r="M36" s="25"/>
      <c r="N36" s="25"/>
      <c r="O36" s="25"/>
      <c r="P36" s="25"/>
      <c r="Q36" s="25"/>
      <c r="R36" s="25"/>
      <c r="S36" s="103"/>
      <c r="T36" s="103"/>
      <c r="U36" s="25"/>
      <c r="V36" s="25"/>
      <c r="W36" s="25"/>
      <c r="X36" s="25"/>
      <c r="Y36" s="25"/>
      <c r="Z36" s="25"/>
      <c r="AA36" s="25"/>
      <c r="AB36" s="104"/>
    </row>
    <row r="37" spans="1:49" ht="18" customHeight="1" thickBot="1" x14ac:dyDescent="0.3">
      <c r="A37" s="47"/>
      <c r="B37" s="36" t="s">
        <v>23</v>
      </c>
      <c r="C37" s="37" t="s">
        <v>24</v>
      </c>
      <c r="D37" s="38" t="s">
        <v>25</v>
      </c>
      <c r="E37" s="39" t="s">
        <v>26</v>
      </c>
      <c r="F37" s="39" t="s">
        <v>27</v>
      </c>
      <c r="G37" s="39" t="s">
        <v>28</v>
      </c>
      <c r="H37" s="39" t="s">
        <v>29</v>
      </c>
      <c r="I37" s="40" t="s">
        <v>30</v>
      </c>
      <c r="J37" s="41" t="s">
        <v>24</v>
      </c>
      <c r="K37" s="42" t="s">
        <v>25</v>
      </c>
      <c r="L37" s="39" t="s">
        <v>26</v>
      </c>
      <c r="M37" s="39" t="s">
        <v>27</v>
      </c>
      <c r="N37" s="39" t="s">
        <v>28</v>
      </c>
      <c r="O37" s="39" t="s">
        <v>29</v>
      </c>
      <c r="P37" s="40" t="s">
        <v>30</v>
      </c>
      <c r="Q37" s="41" t="s">
        <v>24</v>
      </c>
      <c r="R37" s="42" t="s">
        <v>25</v>
      </c>
      <c r="S37" s="39" t="s">
        <v>26</v>
      </c>
      <c r="T37" s="39" t="s">
        <v>27</v>
      </c>
      <c r="U37" s="39" t="s">
        <v>28</v>
      </c>
      <c r="V37" s="39" t="s">
        <v>29</v>
      </c>
      <c r="W37" s="40" t="s">
        <v>30</v>
      </c>
      <c r="X37" s="106" t="s">
        <v>24</v>
      </c>
      <c r="Y37" s="38" t="s">
        <v>25</v>
      </c>
      <c r="Z37" s="39" t="s">
        <v>26</v>
      </c>
      <c r="AA37" s="39" t="s">
        <v>27</v>
      </c>
      <c r="AB37" s="39" t="s">
        <v>28</v>
      </c>
      <c r="AC37" s="39" t="s">
        <v>29</v>
      </c>
      <c r="AD37" s="40" t="s">
        <v>30</v>
      </c>
      <c r="AE37" s="41" t="s">
        <v>24</v>
      </c>
      <c r="AF37" s="42" t="s">
        <v>25</v>
      </c>
      <c r="AG37" s="39" t="s">
        <v>26</v>
      </c>
      <c r="AH37" s="39" t="s">
        <v>27</v>
      </c>
      <c r="AI37" s="39" t="s">
        <v>28</v>
      </c>
      <c r="AJ37" s="39" t="s">
        <v>29</v>
      </c>
      <c r="AK37" s="40" t="s">
        <v>30</v>
      </c>
      <c r="AL37" s="106" t="s">
        <v>24</v>
      </c>
      <c r="AM37" s="38" t="s">
        <v>25</v>
      </c>
      <c r="AN37" s="39" t="s">
        <v>26</v>
      </c>
      <c r="AO37" s="39" t="s">
        <v>27</v>
      </c>
      <c r="AP37" s="39" t="s">
        <v>28</v>
      </c>
      <c r="AQ37" s="39" t="s">
        <v>29</v>
      </c>
      <c r="AR37" s="41" t="s">
        <v>30</v>
      </c>
      <c r="AS37" s="45" t="str">
        <f>+AS29</f>
        <v>F25</v>
      </c>
      <c r="AT37" s="45" t="str">
        <f>+AT29</f>
        <v>F24</v>
      </c>
      <c r="AU37" s="45" t="str">
        <f>+AU29</f>
        <v>DFT</v>
      </c>
      <c r="AV37" s="46" t="s">
        <v>34</v>
      </c>
      <c r="AW37" s="7" t="s">
        <v>35</v>
      </c>
    </row>
    <row r="38" spans="1:49" ht="18" customHeight="1" thickBot="1" x14ac:dyDescent="0.3">
      <c r="A38" s="47"/>
      <c r="B38" s="48"/>
      <c r="C38" s="49">
        <f>IF($U$3=1,1,0)</f>
        <v>0</v>
      </c>
      <c r="D38" s="50">
        <f>IF($V$3=1,1, IF(C38&gt;0,C38+1, 0))</f>
        <v>0</v>
      </c>
      <c r="E38" s="51">
        <f>IF($W$3=1,1, IF(D38&gt;0,D38+1, 0))</f>
        <v>0</v>
      </c>
      <c r="F38" s="51">
        <f>IF($X$3=1,1, IF(E38&gt;0,E38+1, 0))</f>
        <v>0</v>
      </c>
      <c r="G38" s="51">
        <f>IF($Y$3=1,1, IF(F38&gt;0,F38+1, 0))</f>
        <v>0</v>
      </c>
      <c r="H38" s="52">
        <f>IF($Z$3=1,1, IF(G38&gt;0,G38+1, 0))</f>
        <v>0</v>
      </c>
      <c r="I38" s="53">
        <f>IF($AA$3=1,1, IF(H38&gt;0,H38+1, 0))</f>
        <v>1</v>
      </c>
      <c r="J38" s="54">
        <f t="shared" ref="J38:AR38" si="4">IF(AND(I38&gt;0,I38&lt;31),I38+1,0)</f>
        <v>2</v>
      </c>
      <c r="K38" s="55">
        <f t="shared" si="4"/>
        <v>3</v>
      </c>
      <c r="L38" s="51">
        <f t="shared" si="4"/>
        <v>4</v>
      </c>
      <c r="M38" s="51">
        <f t="shared" si="4"/>
        <v>5</v>
      </c>
      <c r="N38" s="51">
        <f t="shared" si="4"/>
        <v>6</v>
      </c>
      <c r="O38" s="52">
        <f t="shared" si="4"/>
        <v>7</v>
      </c>
      <c r="P38" s="53">
        <f t="shared" si="4"/>
        <v>8</v>
      </c>
      <c r="Q38" s="54">
        <f t="shared" si="4"/>
        <v>9</v>
      </c>
      <c r="R38" s="55">
        <f t="shared" si="4"/>
        <v>10</v>
      </c>
      <c r="S38" s="51">
        <f t="shared" si="4"/>
        <v>11</v>
      </c>
      <c r="T38" s="51">
        <f t="shared" si="4"/>
        <v>12</v>
      </c>
      <c r="U38" s="51">
        <f t="shared" si="4"/>
        <v>13</v>
      </c>
      <c r="V38" s="52">
        <f t="shared" si="4"/>
        <v>14</v>
      </c>
      <c r="W38" s="53">
        <f t="shared" si="4"/>
        <v>15</v>
      </c>
      <c r="X38" s="107">
        <f t="shared" si="4"/>
        <v>16</v>
      </c>
      <c r="Y38" s="50">
        <f>IF(AND(X38&gt;0,X38&lt;31),X38+1,0)</f>
        <v>17</v>
      </c>
      <c r="Z38" s="51">
        <f t="shared" si="4"/>
        <v>18</v>
      </c>
      <c r="AA38" s="51">
        <f t="shared" si="4"/>
        <v>19</v>
      </c>
      <c r="AB38" s="51">
        <f t="shared" si="4"/>
        <v>20</v>
      </c>
      <c r="AC38" s="52">
        <f t="shared" si="4"/>
        <v>21</v>
      </c>
      <c r="AD38" s="53">
        <f t="shared" si="4"/>
        <v>22</v>
      </c>
      <c r="AE38" s="54">
        <f t="shared" si="4"/>
        <v>23</v>
      </c>
      <c r="AF38" s="55">
        <f t="shared" si="4"/>
        <v>24</v>
      </c>
      <c r="AG38" s="51">
        <f t="shared" si="4"/>
        <v>25</v>
      </c>
      <c r="AH38" s="51">
        <f t="shared" si="4"/>
        <v>26</v>
      </c>
      <c r="AI38" s="51">
        <f t="shared" si="4"/>
        <v>27</v>
      </c>
      <c r="AJ38" s="52">
        <f t="shared" si="4"/>
        <v>28</v>
      </c>
      <c r="AK38" s="53">
        <f t="shared" si="4"/>
        <v>29</v>
      </c>
      <c r="AL38" s="108">
        <f t="shared" si="4"/>
        <v>30</v>
      </c>
      <c r="AM38" s="50">
        <f t="shared" si="4"/>
        <v>31</v>
      </c>
      <c r="AN38" s="51">
        <f t="shared" si="4"/>
        <v>0</v>
      </c>
      <c r="AO38" s="51">
        <f t="shared" si="4"/>
        <v>0</v>
      </c>
      <c r="AP38" s="51">
        <f t="shared" si="4"/>
        <v>0</v>
      </c>
      <c r="AQ38" s="52">
        <f t="shared" si="4"/>
        <v>0</v>
      </c>
      <c r="AR38" s="56">
        <f t="shared" si="4"/>
        <v>0</v>
      </c>
    </row>
    <row r="39" spans="1:49" ht="18" customHeight="1" x14ac:dyDescent="0.25">
      <c r="A39" s="47"/>
      <c r="B39" s="109" t="str">
        <f>+$B$23</f>
        <v xml:space="preserve">Pedro </v>
      </c>
      <c r="C39" s="119"/>
      <c r="D39" s="63"/>
      <c r="E39" s="60"/>
      <c r="F39" s="60"/>
      <c r="G39" s="60"/>
      <c r="H39" s="64"/>
      <c r="I39" s="65"/>
      <c r="J39" s="62"/>
      <c r="K39" s="77"/>
      <c r="L39" s="60"/>
      <c r="M39" s="72"/>
      <c r="N39" s="60"/>
      <c r="O39" s="64"/>
      <c r="P39" s="65"/>
      <c r="Q39" s="62"/>
      <c r="R39" s="66"/>
      <c r="S39" s="60"/>
      <c r="T39" s="60"/>
      <c r="U39" s="60"/>
      <c r="V39" s="64"/>
      <c r="W39" s="65"/>
      <c r="X39" s="67"/>
      <c r="Y39" s="63"/>
      <c r="Z39" s="60"/>
      <c r="AA39" s="60"/>
      <c r="AB39" s="60"/>
      <c r="AC39" s="64"/>
      <c r="AD39" s="65"/>
      <c r="AE39" s="62"/>
      <c r="AF39" s="66"/>
      <c r="AG39" s="60"/>
      <c r="AH39" s="60"/>
      <c r="AI39" s="60"/>
      <c r="AJ39" s="64"/>
      <c r="AK39" s="65"/>
      <c r="AL39" s="67"/>
      <c r="AM39" s="63"/>
      <c r="AN39" s="60"/>
      <c r="AO39" s="60"/>
      <c r="AP39" s="60"/>
      <c r="AQ39" s="64"/>
      <c r="AR39" s="62"/>
      <c r="AS39" s="68">
        <f t="shared" ref="AS39:AW42" si="5">COUNTIF($C39:$AR39,AS$21)</f>
        <v>0</v>
      </c>
      <c r="AT39" s="69">
        <f t="shared" si="5"/>
        <v>0</v>
      </c>
      <c r="AU39" s="69">
        <f t="shared" si="5"/>
        <v>0</v>
      </c>
      <c r="AV39" s="70">
        <f t="shared" si="5"/>
        <v>0</v>
      </c>
      <c r="AW39" s="7">
        <f>COUNTIF($C39:$AR39,AW$21)</f>
        <v>0</v>
      </c>
    </row>
    <row r="40" spans="1:49" ht="18" customHeight="1" x14ac:dyDescent="0.25">
      <c r="A40" s="47"/>
      <c r="B40" s="57" t="str">
        <f>+$B$24</f>
        <v>Miguel</v>
      </c>
      <c r="C40" s="71"/>
      <c r="D40" s="59"/>
      <c r="E40" s="72"/>
      <c r="F40" s="72"/>
      <c r="G40" s="72"/>
      <c r="H40" s="75"/>
      <c r="I40" s="76"/>
      <c r="J40" s="74"/>
      <c r="K40" s="77"/>
      <c r="L40" s="72"/>
      <c r="M40" s="72"/>
      <c r="N40" s="72"/>
      <c r="O40" s="75"/>
      <c r="P40" s="76"/>
      <c r="Q40" s="74"/>
      <c r="R40" s="77"/>
      <c r="S40" s="72"/>
      <c r="T40" s="72"/>
      <c r="U40" s="72"/>
      <c r="V40" s="75"/>
      <c r="W40" s="76"/>
      <c r="X40" s="78"/>
      <c r="Y40" s="59"/>
      <c r="Z40" s="72"/>
      <c r="AA40" s="72"/>
      <c r="AB40" s="72"/>
      <c r="AC40" s="75"/>
      <c r="AD40" s="76"/>
      <c r="AE40" s="74"/>
      <c r="AF40" s="77"/>
      <c r="AG40" s="72"/>
      <c r="AH40" s="72"/>
      <c r="AI40" s="72"/>
      <c r="AJ40" s="75"/>
      <c r="AK40" s="76"/>
      <c r="AL40" s="78"/>
      <c r="AM40" s="59"/>
      <c r="AN40" s="72"/>
      <c r="AO40" s="72"/>
      <c r="AP40" s="72"/>
      <c r="AQ40" s="75"/>
      <c r="AR40" s="74"/>
      <c r="AS40" s="79">
        <f t="shared" si="5"/>
        <v>0</v>
      </c>
      <c r="AT40" s="80">
        <f t="shared" si="5"/>
        <v>0</v>
      </c>
      <c r="AU40" s="80">
        <f t="shared" si="5"/>
        <v>0</v>
      </c>
      <c r="AV40" s="81">
        <f t="shared" si="5"/>
        <v>0</v>
      </c>
      <c r="AW40" s="7">
        <f>COUNTIF($C40:$AR40,AW$21)</f>
        <v>0</v>
      </c>
    </row>
    <row r="41" spans="1:49" ht="18" customHeight="1" x14ac:dyDescent="0.25">
      <c r="A41" s="47"/>
      <c r="B41" s="57" t="str">
        <f>+$B$25</f>
        <v>Gichelson</v>
      </c>
      <c r="C41" s="82"/>
      <c r="D41" s="59"/>
      <c r="E41" s="72"/>
      <c r="F41" s="72"/>
      <c r="G41" s="72"/>
      <c r="H41" s="75"/>
      <c r="I41" s="76"/>
      <c r="J41" s="74"/>
      <c r="K41" s="77"/>
      <c r="L41" s="72"/>
      <c r="M41" s="72"/>
      <c r="N41" s="72"/>
      <c r="O41" s="75"/>
      <c r="P41" s="76"/>
      <c r="Q41" s="74"/>
      <c r="R41" s="77"/>
      <c r="S41" s="72"/>
      <c r="T41" s="72"/>
      <c r="U41" s="72"/>
      <c r="V41" s="75"/>
      <c r="W41" s="76"/>
      <c r="X41" s="78"/>
      <c r="Y41" s="59"/>
      <c r="Z41" s="72"/>
      <c r="AA41" s="72"/>
      <c r="AB41" s="72"/>
      <c r="AC41" s="75"/>
      <c r="AD41" s="76"/>
      <c r="AE41" s="74"/>
      <c r="AF41" s="77"/>
      <c r="AG41" s="72"/>
      <c r="AH41" s="72"/>
      <c r="AI41" s="72"/>
      <c r="AJ41" s="75"/>
      <c r="AK41" s="76"/>
      <c r="AL41" s="78"/>
      <c r="AM41" s="59"/>
      <c r="AN41" s="72"/>
      <c r="AO41" s="72"/>
      <c r="AP41" s="72"/>
      <c r="AQ41" s="75"/>
      <c r="AR41" s="74"/>
      <c r="AS41" s="79">
        <f t="shared" si="5"/>
        <v>0</v>
      </c>
      <c r="AT41" s="80">
        <f t="shared" si="5"/>
        <v>0</v>
      </c>
      <c r="AU41" s="80">
        <f t="shared" si="5"/>
        <v>0</v>
      </c>
      <c r="AV41" s="81">
        <f t="shared" si="5"/>
        <v>0</v>
      </c>
      <c r="AW41" s="7">
        <f t="shared" si="5"/>
        <v>0</v>
      </c>
    </row>
    <row r="42" spans="1:49" ht="18" customHeight="1" thickBot="1" x14ac:dyDescent="0.3">
      <c r="A42" s="47"/>
      <c r="B42" s="89"/>
      <c r="C42" s="90"/>
      <c r="D42" s="96"/>
      <c r="E42" s="95"/>
      <c r="F42" s="95"/>
      <c r="G42" s="95"/>
      <c r="H42" s="92"/>
      <c r="I42" s="94"/>
      <c r="J42" s="93"/>
      <c r="K42" s="120"/>
      <c r="L42" s="95"/>
      <c r="M42" s="95"/>
      <c r="N42" s="95"/>
      <c r="O42" s="92"/>
      <c r="P42" s="94"/>
      <c r="Q42" s="93"/>
      <c r="R42" s="120"/>
      <c r="S42" s="92"/>
      <c r="T42" s="95"/>
      <c r="U42" s="95"/>
      <c r="V42" s="97"/>
      <c r="W42" s="94"/>
      <c r="X42" s="115"/>
      <c r="Y42" s="96"/>
      <c r="Z42" s="95"/>
      <c r="AA42" s="95"/>
      <c r="AB42" s="95"/>
      <c r="AC42" s="97"/>
      <c r="AD42" s="94"/>
      <c r="AE42" s="93"/>
      <c r="AF42" s="98"/>
      <c r="AG42" s="95"/>
      <c r="AH42" s="95"/>
      <c r="AI42" s="95"/>
      <c r="AJ42" s="92"/>
      <c r="AK42" s="94"/>
      <c r="AL42" s="115"/>
      <c r="AM42" s="96"/>
      <c r="AN42" s="95"/>
      <c r="AO42" s="95"/>
      <c r="AP42" s="95"/>
      <c r="AQ42" s="97"/>
      <c r="AR42" s="93"/>
      <c r="AS42" s="100">
        <f t="shared" si="5"/>
        <v>0</v>
      </c>
      <c r="AT42" s="101">
        <f t="shared" si="5"/>
        <v>0</v>
      </c>
      <c r="AU42" s="101">
        <f t="shared" si="5"/>
        <v>0</v>
      </c>
      <c r="AV42" s="102">
        <f>COUNTIF($C42:$AR42,AV$21)</f>
        <v>0</v>
      </c>
      <c r="AW42" s="7">
        <f t="shared" si="5"/>
        <v>0</v>
      </c>
    </row>
    <row r="43" spans="1:49" ht="18" customHeight="1" x14ac:dyDescent="0.25">
      <c r="A43" s="47"/>
      <c r="B43" s="103"/>
      <c r="C43" s="25"/>
      <c r="D43" s="25"/>
      <c r="E43" s="25"/>
      <c r="F43" s="25"/>
      <c r="G43" s="25"/>
      <c r="H43" s="25"/>
      <c r="I43" s="25"/>
      <c r="J43" s="103"/>
      <c r="K43" s="103"/>
      <c r="L43" s="25"/>
      <c r="M43" s="25"/>
      <c r="N43" s="25"/>
      <c r="O43" s="25"/>
      <c r="P43" s="25"/>
      <c r="Q43" s="25"/>
      <c r="R43" s="25"/>
      <c r="S43" s="103"/>
      <c r="T43" s="103"/>
      <c r="U43" s="25"/>
      <c r="V43" s="25"/>
      <c r="W43" s="25"/>
      <c r="X43" s="25"/>
      <c r="Y43" s="25"/>
      <c r="Z43" s="25"/>
      <c r="AA43" s="25"/>
      <c r="AB43" s="25"/>
    </row>
    <row r="44" spans="1:49" s="32" customFormat="1" ht="18" customHeight="1" thickBot="1" x14ac:dyDescent="0.3">
      <c r="A44" s="30"/>
      <c r="B44" s="161" t="s">
        <v>39</v>
      </c>
      <c r="C44" s="161"/>
      <c r="D44" s="161"/>
      <c r="E44" s="161"/>
      <c r="F44" s="161"/>
      <c r="G44" s="161"/>
      <c r="H44" s="161"/>
      <c r="I44" s="161"/>
      <c r="J44" s="31"/>
      <c r="K44" s="32">
        <v>4</v>
      </c>
      <c r="S44" s="31"/>
      <c r="AB44" s="33"/>
    </row>
    <row r="45" spans="1:49" ht="18" customHeight="1" thickBot="1" x14ac:dyDescent="0.3">
      <c r="A45" s="47"/>
      <c r="B45" s="36" t="s">
        <v>23</v>
      </c>
      <c r="C45" s="121" t="s">
        <v>24</v>
      </c>
      <c r="D45" s="38" t="s">
        <v>25</v>
      </c>
      <c r="E45" s="39" t="s">
        <v>26</v>
      </c>
      <c r="F45" s="39" t="s">
        <v>27</v>
      </c>
      <c r="G45" s="39" t="s">
        <v>28</v>
      </c>
      <c r="H45" s="39" t="s">
        <v>29</v>
      </c>
      <c r="I45" s="40" t="s">
        <v>30</v>
      </c>
      <c r="J45" s="41" t="s">
        <v>24</v>
      </c>
      <c r="K45" s="42" t="s">
        <v>25</v>
      </c>
      <c r="L45" s="39" t="s">
        <v>26</v>
      </c>
      <c r="M45" s="39" t="s">
        <v>27</v>
      </c>
      <c r="N45" s="39" t="s">
        <v>28</v>
      </c>
      <c r="O45" s="39" t="s">
        <v>29</v>
      </c>
      <c r="P45" s="40" t="s">
        <v>30</v>
      </c>
      <c r="Q45" s="106" t="s">
        <v>24</v>
      </c>
      <c r="R45" s="38" t="s">
        <v>25</v>
      </c>
      <c r="S45" s="39" t="s">
        <v>26</v>
      </c>
      <c r="T45" s="39" t="s">
        <v>27</v>
      </c>
      <c r="U45" s="39" t="s">
        <v>28</v>
      </c>
      <c r="V45" s="39" t="s">
        <v>29</v>
      </c>
      <c r="W45" s="40" t="s">
        <v>30</v>
      </c>
      <c r="X45" s="41" t="s">
        <v>24</v>
      </c>
      <c r="Y45" s="42" t="s">
        <v>25</v>
      </c>
      <c r="Z45" s="39" t="s">
        <v>26</v>
      </c>
      <c r="AA45" s="39" t="s">
        <v>27</v>
      </c>
      <c r="AB45" s="39" t="s">
        <v>28</v>
      </c>
      <c r="AC45" s="39" t="s">
        <v>29</v>
      </c>
      <c r="AD45" s="40" t="s">
        <v>30</v>
      </c>
      <c r="AE45" s="106" t="s">
        <v>24</v>
      </c>
      <c r="AF45" s="38" t="s">
        <v>25</v>
      </c>
      <c r="AG45" s="39" t="s">
        <v>26</v>
      </c>
      <c r="AH45" s="39" t="s">
        <v>27</v>
      </c>
      <c r="AI45" s="39" t="s">
        <v>28</v>
      </c>
      <c r="AJ45" s="39" t="s">
        <v>29</v>
      </c>
      <c r="AK45" s="40" t="s">
        <v>30</v>
      </c>
      <c r="AL45" s="41" t="s">
        <v>24</v>
      </c>
      <c r="AM45" s="42" t="s">
        <v>25</v>
      </c>
      <c r="AN45" s="39" t="s">
        <v>26</v>
      </c>
      <c r="AO45" s="39" t="s">
        <v>27</v>
      </c>
      <c r="AP45" s="39" t="s">
        <v>28</v>
      </c>
      <c r="AQ45" s="39" t="s">
        <v>29</v>
      </c>
      <c r="AR45" s="41" t="s">
        <v>30</v>
      </c>
      <c r="AS45" s="45" t="str">
        <f>+AS37</f>
        <v>F25</v>
      </c>
      <c r="AT45" s="45" t="str">
        <f>+AT37</f>
        <v>F24</v>
      </c>
      <c r="AU45" s="45" t="str">
        <f>+AU37</f>
        <v>DFT</v>
      </c>
      <c r="AV45" s="46" t="s">
        <v>34</v>
      </c>
      <c r="AW45" s="7" t="s">
        <v>35</v>
      </c>
    </row>
    <row r="46" spans="1:49" ht="18" customHeight="1" thickBot="1" x14ac:dyDescent="0.3">
      <c r="A46" s="47"/>
      <c r="B46" s="48"/>
      <c r="C46" s="122">
        <f>IF($C$4=1,1,0)</f>
        <v>0</v>
      </c>
      <c r="D46" s="50">
        <f>IF($D$4=1,1, IF(C46&gt;0,C46+1, 0))</f>
        <v>0</v>
      </c>
      <c r="E46" s="51">
        <f>IF($E$4=1,1, IF(D46&gt;0,D46+1, 0))</f>
        <v>1</v>
      </c>
      <c r="F46" s="51">
        <f>IF($F$4=1,1, IF(E46&gt;0,E46+1, 0))</f>
        <v>2</v>
      </c>
      <c r="G46" s="51">
        <f>IF($G$4=1,1, IF(F46&gt;0,F46+1, 0))</f>
        <v>3</v>
      </c>
      <c r="H46" s="52">
        <f>IF($H$4=1,1, IF(G46&gt;0,G46+1, 0))</f>
        <v>4</v>
      </c>
      <c r="I46" s="53">
        <f>IF($I$4=1,1, IF(H46&gt;0,H46+1, 0))</f>
        <v>5</v>
      </c>
      <c r="J46" s="54">
        <f t="shared" ref="J46:AR46" si="6">IF(AND(I46&gt;0,I46&lt;30),I46+1,0)</f>
        <v>6</v>
      </c>
      <c r="K46" s="55">
        <f t="shared" si="6"/>
        <v>7</v>
      </c>
      <c r="L46" s="51">
        <f t="shared" si="6"/>
        <v>8</v>
      </c>
      <c r="M46" s="51">
        <f t="shared" si="6"/>
        <v>9</v>
      </c>
      <c r="N46" s="51">
        <f t="shared" si="6"/>
        <v>10</v>
      </c>
      <c r="O46" s="52">
        <f t="shared" si="6"/>
        <v>11</v>
      </c>
      <c r="P46" s="53">
        <f t="shared" si="6"/>
        <v>12</v>
      </c>
      <c r="Q46" s="107">
        <f t="shared" si="6"/>
        <v>13</v>
      </c>
      <c r="R46" s="50">
        <f t="shared" si="6"/>
        <v>14</v>
      </c>
      <c r="S46" s="51">
        <f t="shared" si="6"/>
        <v>15</v>
      </c>
      <c r="T46" s="51">
        <f t="shared" si="6"/>
        <v>16</v>
      </c>
      <c r="U46" s="51">
        <f t="shared" si="6"/>
        <v>17</v>
      </c>
      <c r="V46" s="52">
        <f t="shared" si="6"/>
        <v>18</v>
      </c>
      <c r="W46" s="53">
        <f t="shared" si="6"/>
        <v>19</v>
      </c>
      <c r="X46" s="54">
        <f t="shared" si="6"/>
        <v>20</v>
      </c>
      <c r="Y46" s="55">
        <f>IF(AND(X46&gt;0,X46&lt;30),X46+1,0)</f>
        <v>21</v>
      </c>
      <c r="Z46" s="51">
        <f t="shared" si="6"/>
        <v>22</v>
      </c>
      <c r="AA46" s="51">
        <f t="shared" si="6"/>
        <v>23</v>
      </c>
      <c r="AB46" s="51">
        <f t="shared" si="6"/>
        <v>24</v>
      </c>
      <c r="AC46" s="52">
        <f t="shared" si="6"/>
        <v>25</v>
      </c>
      <c r="AD46" s="53">
        <f t="shared" si="6"/>
        <v>26</v>
      </c>
      <c r="AE46" s="107">
        <f t="shared" si="6"/>
        <v>27</v>
      </c>
      <c r="AF46" s="50">
        <f t="shared" si="6"/>
        <v>28</v>
      </c>
      <c r="AG46" s="51">
        <f t="shared" si="6"/>
        <v>29</v>
      </c>
      <c r="AH46" s="51">
        <f t="shared" si="6"/>
        <v>30</v>
      </c>
      <c r="AI46" s="51">
        <f t="shared" si="6"/>
        <v>0</v>
      </c>
      <c r="AJ46" s="52">
        <f t="shared" si="6"/>
        <v>0</v>
      </c>
      <c r="AK46" s="53">
        <f t="shared" si="6"/>
        <v>0</v>
      </c>
      <c r="AL46" s="54">
        <f t="shared" si="6"/>
        <v>0</v>
      </c>
      <c r="AM46" s="55">
        <f t="shared" si="6"/>
        <v>0</v>
      </c>
      <c r="AN46" s="51">
        <f t="shared" si="6"/>
        <v>0</v>
      </c>
      <c r="AO46" s="51">
        <f t="shared" si="6"/>
        <v>0</v>
      </c>
      <c r="AP46" s="51">
        <f t="shared" si="6"/>
        <v>0</v>
      </c>
      <c r="AQ46" s="52">
        <f t="shared" si="6"/>
        <v>0</v>
      </c>
      <c r="AR46" s="56">
        <f t="shared" si="6"/>
        <v>0</v>
      </c>
    </row>
    <row r="47" spans="1:49" ht="18" customHeight="1" x14ac:dyDescent="0.25">
      <c r="A47" s="47"/>
      <c r="B47" s="109" t="str">
        <f>+$B$23</f>
        <v xml:space="preserve">Pedro </v>
      </c>
      <c r="C47" s="123"/>
      <c r="D47" s="63"/>
      <c r="E47" s="60"/>
      <c r="F47" s="60"/>
      <c r="G47" s="60"/>
      <c r="H47" s="64"/>
      <c r="I47" s="76"/>
      <c r="J47" s="74"/>
      <c r="K47" s="72"/>
      <c r="L47" s="72"/>
      <c r="M47" s="72"/>
      <c r="N47" s="72"/>
      <c r="O47" s="75"/>
      <c r="P47" s="76"/>
      <c r="Q47" s="78"/>
      <c r="R47" s="59"/>
      <c r="S47" s="72"/>
      <c r="T47" s="72"/>
      <c r="U47" s="72"/>
      <c r="V47" s="75"/>
      <c r="W47" s="76"/>
      <c r="X47" s="74"/>
      <c r="Y47" s="72"/>
      <c r="Z47" s="72"/>
      <c r="AA47" s="72"/>
      <c r="AB47" s="60"/>
      <c r="AC47" s="72"/>
      <c r="AD47" s="65"/>
      <c r="AE47" s="67"/>
      <c r="AF47" s="63"/>
      <c r="AG47" s="60"/>
      <c r="AH47" s="60"/>
      <c r="AI47" s="60"/>
      <c r="AJ47" s="64"/>
      <c r="AK47" s="65"/>
      <c r="AL47" s="62"/>
      <c r="AM47" s="66"/>
      <c r="AN47" s="60"/>
      <c r="AO47" s="60"/>
      <c r="AP47" s="60"/>
      <c r="AQ47" s="64"/>
      <c r="AR47" s="62"/>
      <c r="AS47" s="68">
        <f t="shared" ref="AS47:AW50" si="7">COUNTIF($C47:$AR47,AS$21)</f>
        <v>0</v>
      </c>
      <c r="AT47" s="69">
        <f t="shared" si="7"/>
        <v>0</v>
      </c>
      <c r="AU47" s="69">
        <f t="shared" si="7"/>
        <v>0</v>
      </c>
      <c r="AV47" s="70">
        <f t="shared" si="7"/>
        <v>0</v>
      </c>
      <c r="AW47" s="7">
        <f>COUNTIF($C47:$AR47,AW$21)</f>
        <v>0</v>
      </c>
    </row>
    <row r="48" spans="1:49" ht="18" customHeight="1" x14ac:dyDescent="0.25">
      <c r="A48" s="47"/>
      <c r="B48" s="57" t="str">
        <f>+$B$24</f>
        <v>Miguel</v>
      </c>
      <c r="C48" s="124"/>
      <c r="D48" s="59"/>
      <c r="E48" s="72"/>
      <c r="F48" s="72"/>
      <c r="G48" s="72"/>
      <c r="H48" s="75"/>
      <c r="I48" s="76"/>
      <c r="J48" s="74"/>
      <c r="K48" s="77"/>
      <c r="L48" s="72"/>
      <c r="M48" s="72"/>
      <c r="N48" s="72"/>
      <c r="O48" s="75"/>
      <c r="P48" s="76"/>
      <c r="Q48" s="78"/>
      <c r="R48" s="59"/>
      <c r="S48" s="72"/>
      <c r="T48" s="72"/>
      <c r="U48" s="72"/>
      <c r="V48" s="75"/>
      <c r="W48" s="76"/>
      <c r="X48" s="74"/>
      <c r="Y48" s="77"/>
      <c r="Z48" s="72"/>
      <c r="AA48" s="72"/>
      <c r="AB48" s="72"/>
      <c r="AC48" s="72"/>
      <c r="AD48" s="76"/>
      <c r="AE48" s="74"/>
      <c r="AF48" s="72"/>
      <c r="AG48" s="72"/>
      <c r="AH48" s="72"/>
      <c r="AI48" s="72"/>
      <c r="AJ48" s="75"/>
      <c r="AK48" s="76"/>
      <c r="AL48" s="74"/>
      <c r="AM48" s="77"/>
      <c r="AN48" s="72"/>
      <c r="AO48" s="72"/>
      <c r="AP48" s="72"/>
      <c r="AQ48" s="75"/>
      <c r="AR48" s="74"/>
      <c r="AS48" s="79">
        <f t="shared" si="7"/>
        <v>0</v>
      </c>
      <c r="AT48" s="80">
        <f t="shared" si="7"/>
        <v>0</v>
      </c>
      <c r="AU48" s="80">
        <f t="shared" si="7"/>
        <v>0</v>
      </c>
      <c r="AV48" s="81">
        <f t="shared" si="7"/>
        <v>0</v>
      </c>
      <c r="AW48" s="7">
        <f>COUNTIF($C48:$AR48,AW$21)</f>
        <v>0</v>
      </c>
    </row>
    <row r="49" spans="1:49" ht="18" customHeight="1" x14ac:dyDescent="0.25">
      <c r="A49" s="47"/>
      <c r="B49" s="57" t="str">
        <f>+$B$25</f>
        <v>Gichelson</v>
      </c>
      <c r="C49" s="125"/>
      <c r="D49" s="59"/>
      <c r="E49" s="72"/>
      <c r="F49" s="72"/>
      <c r="G49" s="72"/>
      <c r="H49" s="75"/>
      <c r="I49" s="76"/>
      <c r="J49" s="74"/>
      <c r="K49" s="72"/>
      <c r="L49" s="72"/>
      <c r="M49" s="72"/>
      <c r="N49" s="72"/>
      <c r="O49" s="75"/>
      <c r="P49" s="76"/>
      <c r="Q49" s="78"/>
      <c r="R49" s="59"/>
      <c r="S49" s="72"/>
      <c r="T49" s="72"/>
      <c r="U49" s="72"/>
      <c r="V49" s="75"/>
      <c r="W49" s="76"/>
      <c r="X49" s="74"/>
      <c r="Y49" s="77"/>
      <c r="Z49" s="72"/>
      <c r="AA49" s="72"/>
      <c r="AB49" s="72"/>
      <c r="AC49" s="72"/>
      <c r="AD49" s="76"/>
      <c r="AE49" s="74"/>
      <c r="AF49" s="72"/>
      <c r="AG49" s="72"/>
      <c r="AH49" s="72"/>
      <c r="AI49" s="72"/>
      <c r="AJ49" s="75"/>
      <c r="AK49" s="76"/>
      <c r="AL49" s="74"/>
      <c r="AM49" s="77"/>
      <c r="AN49" s="72"/>
      <c r="AO49" s="72"/>
      <c r="AP49" s="72"/>
      <c r="AQ49" s="75"/>
      <c r="AR49" s="112"/>
      <c r="AS49" s="79">
        <f t="shared" si="7"/>
        <v>0</v>
      </c>
      <c r="AT49" s="80">
        <f t="shared" si="7"/>
        <v>0</v>
      </c>
      <c r="AU49" s="80">
        <f t="shared" si="7"/>
        <v>0</v>
      </c>
      <c r="AV49" s="81">
        <f t="shared" si="7"/>
        <v>0</v>
      </c>
      <c r="AW49" s="7">
        <f t="shared" si="7"/>
        <v>0</v>
      </c>
    </row>
    <row r="50" spans="1:49" ht="18" customHeight="1" thickBot="1" x14ac:dyDescent="0.3">
      <c r="A50" s="47"/>
      <c r="B50" s="89"/>
      <c r="C50" s="126"/>
      <c r="D50" s="96"/>
      <c r="E50" s="95"/>
      <c r="F50" s="95"/>
      <c r="G50" s="92"/>
      <c r="H50" s="97"/>
      <c r="I50" s="94"/>
      <c r="J50" s="93"/>
      <c r="K50" s="92"/>
      <c r="L50" s="95"/>
      <c r="M50" s="95"/>
      <c r="N50" s="95"/>
      <c r="O50" s="97"/>
      <c r="P50" s="94"/>
      <c r="Q50" s="115"/>
      <c r="R50" s="96"/>
      <c r="S50" s="95"/>
      <c r="T50" s="95"/>
      <c r="U50" s="95"/>
      <c r="V50" s="94"/>
      <c r="W50" s="94"/>
      <c r="X50" s="93"/>
      <c r="Y50" s="91"/>
      <c r="Z50" s="95"/>
      <c r="AA50" s="95"/>
      <c r="AB50" s="95"/>
      <c r="AC50" s="92"/>
      <c r="AD50" s="94"/>
      <c r="AE50" s="93"/>
      <c r="AF50" s="91"/>
      <c r="AG50" s="95"/>
      <c r="AH50" s="95"/>
      <c r="AI50" s="95"/>
      <c r="AJ50" s="97"/>
      <c r="AK50" s="94"/>
      <c r="AL50" s="93"/>
      <c r="AM50" s="98"/>
      <c r="AN50" s="95"/>
      <c r="AO50" s="95"/>
      <c r="AP50" s="95"/>
      <c r="AQ50" s="97"/>
      <c r="AR50" s="118"/>
      <c r="AS50" s="100">
        <f t="shared" si="7"/>
        <v>0</v>
      </c>
      <c r="AT50" s="101">
        <f t="shared" si="7"/>
        <v>0</v>
      </c>
      <c r="AU50" s="101">
        <f t="shared" si="7"/>
        <v>0</v>
      </c>
      <c r="AV50" s="102">
        <f t="shared" si="7"/>
        <v>0</v>
      </c>
      <c r="AW50" s="7">
        <f t="shared" si="7"/>
        <v>0</v>
      </c>
    </row>
    <row r="51" spans="1:49" ht="18" customHeight="1" x14ac:dyDescent="0.25">
      <c r="A51" s="47"/>
      <c r="B51" s="103"/>
      <c r="C51" s="25"/>
      <c r="D51" s="25"/>
      <c r="E51" s="25"/>
      <c r="F51" s="25"/>
      <c r="G51" s="25"/>
      <c r="H51" s="25"/>
      <c r="I51" s="25"/>
      <c r="J51" s="103"/>
      <c r="K51" s="103"/>
      <c r="L51" s="25"/>
      <c r="M51" s="25"/>
      <c r="N51" s="25"/>
      <c r="O51" s="25"/>
      <c r="P51" s="25"/>
      <c r="Q51" s="25"/>
      <c r="R51" s="25"/>
      <c r="S51" s="103"/>
      <c r="T51" s="103"/>
      <c r="U51" s="25"/>
      <c r="V51" s="25"/>
      <c r="W51" s="25"/>
      <c r="X51" s="25"/>
      <c r="Y51" s="25"/>
      <c r="Z51" s="25"/>
      <c r="AA51" s="25"/>
      <c r="AB51" s="25"/>
    </row>
    <row r="52" spans="1:49" ht="18" customHeight="1" thickBot="1" x14ac:dyDescent="0.3">
      <c r="A52" s="47"/>
      <c r="B52" s="161" t="s">
        <v>40</v>
      </c>
      <c r="C52" s="161"/>
      <c r="D52" s="161"/>
      <c r="E52" s="161"/>
      <c r="F52" s="161"/>
      <c r="G52" s="161"/>
      <c r="H52" s="161"/>
      <c r="I52" s="161"/>
      <c r="J52" s="103"/>
      <c r="K52" s="103">
        <v>5</v>
      </c>
      <c r="L52" s="25"/>
      <c r="M52" s="25"/>
      <c r="N52" s="25"/>
      <c r="O52" s="25"/>
      <c r="P52" s="25"/>
      <c r="Q52" s="25"/>
      <c r="R52" s="25"/>
      <c r="S52" s="103"/>
      <c r="T52" s="103"/>
      <c r="U52" s="25"/>
      <c r="V52" s="25"/>
      <c r="W52" s="25"/>
      <c r="X52" s="25"/>
      <c r="Y52" s="25"/>
      <c r="Z52" s="25"/>
      <c r="AA52" s="25"/>
      <c r="AB52" s="104"/>
    </row>
    <row r="53" spans="1:49" ht="18" customHeight="1" thickBot="1" x14ac:dyDescent="0.3">
      <c r="A53" s="47"/>
      <c r="B53" s="36" t="s">
        <v>23</v>
      </c>
      <c r="C53" s="121" t="s">
        <v>24</v>
      </c>
      <c r="D53" s="38" t="s">
        <v>25</v>
      </c>
      <c r="E53" s="39" t="s">
        <v>26</v>
      </c>
      <c r="F53" s="39" t="s">
        <v>27</v>
      </c>
      <c r="G53" s="39" t="s">
        <v>28</v>
      </c>
      <c r="H53" s="39" t="s">
        <v>29</v>
      </c>
      <c r="I53" s="40" t="s">
        <v>30</v>
      </c>
      <c r="J53" s="41" t="s">
        <v>24</v>
      </c>
      <c r="K53" s="42" t="s">
        <v>25</v>
      </c>
      <c r="L53" s="39" t="s">
        <v>26</v>
      </c>
      <c r="M53" s="39" t="s">
        <v>27</v>
      </c>
      <c r="N53" s="39" t="s">
        <v>28</v>
      </c>
      <c r="O53" s="39" t="s">
        <v>29</v>
      </c>
      <c r="P53" s="40" t="s">
        <v>30</v>
      </c>
      <c r="Q53" s="106" t="s">
        <v>24</v>
      </c>
      <c r="R53" s="38" t="s">
        <v>25</v>
      </c>
      <c r="S53" s="39" t="s">
        <v>26</v>
      </c>
      <c r="T53" s="39" t="s">
        <v>27</v>
      </c>
      <c r="U53" s="39" t="s">
        <v>28</v>
      </c>
      <c r="V53" s="39" t="s">
        <v>29</v>
      </c>
      <c r="W53" s="40" t="s">
        <v>30</v>
      </c>
      <c r="X53" s="41" t="s">
        <v>24</v>
      </c>
      <c r="Y53" s="42" t="s">
        <v>25</v>
      </c>
      <c r="Z53" s="39" t="s">
        <v>26</v>
      </c>
      <c r="AA53" s="39" t="s">
        <v>27</v>
      </c>
      <c r="AB53" s="39" t="s">
        <v>28</v>
      </c>
      <c r="AC53" s="39" t="s">
        <v>29</v>
      </c>
      <c r="AD53" s="40" t="s">
        <v>30</v>
      </c>
      <c r="AE53" s="106" t="s">
        <v>24</v>
      </c>
      <c r="AF53" s="38" t="s">
        <v>25</v>
      </c>
      <c r="AG53" s="39" t="s">
        <v>26</v>
      </c>
      <c r="AH53" s="39" t="s">
        <v>27</v>
      </c>
      <c r="AI53" s="39" t="s">
        <v>28</v>
      </c>
      <c r="AJ53" s="39" t="s">
        <v>29</v>
      </c>
      <c r="AK53" s="40" t="s">
        <v>30</v>
      </c>
      <c r="AL53" s="41" t="s">
        <v>24</v>
      </c>
      <c r="AM53" s="42" t="s">
        <v>25</v>
      </c>
      <c r="AN53" s="39" t="s">
        <v>26</v>
      </c>
      <c r="AO53" s="39" t="s">
        <v>27</v>
      </c>
      <c r="AP53" s="39" t="s">
        <v>28</v>
      </c>
      <c r="AQ53" s="39" t="s">
        <v>29</v>
      </c>
      <c r="AR53" s="41" t="s">
        <v>30</v>
      </c>
      <c r="AS53" s="45" t="str">
        <f>+AS45</f>
        <v>F25</v>
      </c>
      <c r="AT53" s="45" t="str">
        <f>+AT45</f>
        <v>F24</v>
      </c>
      <c r="AU53" s="45" t="str">
        <f>+AU45</f>
        <v>DFT</v>
      </c>
      <c r="AV53" s="46" t="s">
        <v>34</v>
      </c>
      <c r="AW53" s="7" t="s">
        <v>35</v>
      </c>
    </row>
    <row r="54" spans="1:49" ht="18" customHeight="1" thickBot="1" x14ac:dyDescent="0.3">
      <c r="A54" s="47"/>
      <c r="B54" s="48"/>
      <c r="C54" s="122">
        <f>IF($L$4=1,1,0)</f>
        <v>0</v>
      </c>
      <c r="D54" s="50">
        <f>IF($M$4=1,1, IF(C54&gt;0,C54+1, 0))</f>
        <v>0</v>
      </c>
      <c r="E54" s="51">
        <f>IF($N$4=1,1, IF(D54&gt;0,D54+1, 0))</f>
        <v>0</v>
      </c>
      <c r="F54" s="51">
        <f>IF($O$4=1,1, IF(E54&gt;0,E54+1, 0))</f>
        <v>0</v>
      </c>
      <c r="G54" s="51">
        <f>IF($P$4=1,1, IF(F54&gt;0,F54+1, 0))</f>
        <v>1</v>
      </c>
      <c r="H54" s="52">
        <f>IF($Q$4=1,1, IF(G54&gt;0,G54+1, 0))</f>
        <v>2</v>
      </c>
      <c r="I54" s="53">
        <f>IF($R$4=1,1, IF(H54&gt;0,H54+1, 0))</f>
        <v>3</v>
      </c>
      <c r="J54" s="54">
        <f t="shared" ref="J54:AR54" si="8">IF(AND(I54&gt;0,I54&lt;31),I54+1,0)</f>
        <v>4</v>
      </c>
      <c r="K54" s="55">
        <f t="shared" si="8"/>
        <v>5</v>
      </c>
      <c r="L54" s="51">
        <f t="shared" si="8"/>
        <v>6</v>
      </c>
      <c r="M54" s="51">
        <f t="shared" si="8"/>
        <v>7</v>
      </c>
      <c r="N54" s="51">
        <f t="shared" si="8"/>
        <v>8</v>
      </c>
      <c r="O54" s="52">
        <f t="shared" si="8"/>
        <v>9</v>
      </c>
      <c r="P54" s="53">
        <f t="shared" si="8"/>
        <v>10</v>
      </c>
      <c r="Q54" s="107">
        <f t="shared" si="8"/>
        <v>11</v>
      </c>
      <c r="R54" s="50">
        <f t="shared" si="8"/>
        <v>12</v>
      </c>
      <c r="S54" s="51">
        <f t="shared" si="8"/>
        <v>13</v>
      </c>
      <c r="T54" s="51">
        <f t="shared" si="8"/>
        <v>14</v>
      </c>
      <c r="U54" s="51">
        <f t="shared" si="8"/>
        <v>15</v>
      </c>
      <c r="V54" s="52">
        <f t="shared" si="8"/>
        <v>16</v>
      </c>
      <c r="W54" s="53">
        <f t="shared" si="8"/>
        <v>17</v>
      </c>
      <c r="X54" s="54">
        <f t="shared" si="8"/>
        <v>18</v>
      </c>
      <c r="Y54" s="55">
        <f>IF(AND(X54&gt;0,X54&lt;31),X54+1,0)</f>
        <v>19</v>
      </c>
      <c r="Z54" s="51">
        <f t="shared" si="8"/>
        <v>20</v>
      </c>
      <c r="AA54" s="51">
        <f t="shared" si="8"/>
        <v>21</v>
      </c>
      <c r="AB54" s="51">
        <f t="shared" si="8"/>
        <v>22</v>
      </c>
      <c r="AC54" s="52">
        <f t="shared" si="8"/>
        <v>23</v>
      </c>
      <c r="AD54" s="53">
        <f t="shared" si="8"/>
        <v>24</v>
      </c>
      <c r="AE54" s="107">
        <f t="shared" si="8"/>
        <v>25</v>
      </c>
      <c r="AF54" s="50">
        <f t="shared" si="8"/>
        <v>26</v>
      </c>
      <c r="AG54" s="51">
        <f t="shared" si="8"/>
        <v>27</v>
      </c>
      <c r="AH54" s="51">
        <f t="shared" si="8"/>
        <v>28</v>
      </c>
      <c r="AI54" s="51">
        <f t="shared" si="8"/>
        <v>29</v>
      </c>
      <c r="AJ54" s="52">
        <f t="shared" si="8"/>
        <v>30</v>
      </c>
      <c r="AK54" s="53">
        <f t="shared" si="8"/>
        <v>31</v>
      </c>
      <c r="AL54" s="56">
        <f t="shared" si="8"/>
        <v>0</v>
      </c>
      <c r="AM54" s="55">
        <f t="shared" si="8"/>
        <v>0</v>
      </c>
      <c r="AN54" s="51">
        <f t="shared" si="8"/>
        <v>0</v>
      </c>
      <c r="AO54" s="51">
        <f t="shared" si="8"/>
        <v>0</v>
      </c>
      <c r="AP54" s="51">
        <f t="shared" si="8"/>
        <v>0</v>
      </c>
      <c r="AQ54" s="52">
        <f t="shared" si="8"/>
        <v>0</v>
      </c>
      <c r="AR54" s="56">
        <f t="shared" si="8"/>
        <v>0</v>
      </c>
    </row>
    <row r="55" spans="1:49" ht="18" customHeight="1" x14ac:dyDescent="0.25">
      <c r="A55" s="47"/>
      <c r="B55" s="109" t="str">
        <f>+$B$23</f>
        <v xml:space="preserve">Pedro </v>
      </c>
      <c r="C55" s="123"/>
      <c r="D55" s="63"/>
      <c r="E55" s="60"/>
      <c r="F55" s="60"/>
      <c r="G55" s="60"/>
      <c r="H55" s="64"/>
      <c r="I55" s="65"/>
      <c r="J55" s="62"/>
      <c r="K55" s="66"/>
      <c r="L55" s="60"/>
      <c r="M55" s="60"/>
      <c r="N55" s="60"/>
      <c r="O55" s="64"/>
      <c r="P55" s="65"/>
      <c r="Q55" s="67"/>
      <c r="R55" s="63"/>
      <c r="S55" s="60"/>
      <c r="T55" s="60"/>
      <c r="U55" s="60"/>
      <c r="V55" s="64"/>
      <c r="W55" s="65"/>
      <c r="X55" s="62"/>
      <c r="Y55" s="66"/>
      <c r="Z55" s="60"/>
      <c r="AA55" s="60"/>
      <c r="AB55" s="60"/>
      <c r="AC55" s="64"/>
      <c r="AD55" s="65"/>
      <c r="AE55" s="67"/>
      <c r="AF55" s="63"/>
      <c r="AG55" s="60"/>
      <c r="AH55" s="60"/>
      <c r="AI55" s="60"/>
      <c r="AJ55" s="64"/>
      <c r="AK55" s="65"/>
      <c r="AL55" s="62"/>
      <c r="AM55" s="66"/>
      <c r="AN55" s="60"/>
      <c r="AO55" s="60"/>
      <c r="AP55" s="60"/>
      <c r="AQ55" s="64"/>
      <c r="AR55" s="62"/>
      <c r="AS55" s="68">
        <f t="shared" ref="AS55:AW58" si="9">COUNTIF($C55:$AR55,AS$21)</f>
        <v>0</v>
      </c>
      <c r="AT55" s="69">
        <f t="shared" si="9"/>
        <v>0</v>
      </c>
      <c r="AU55" s="69">
        <f t="shared" si="9"/>
        <v>0</v>
      </c>
      <c r="AV55" s="70">
        <f t="shared" si="9"/>
        <v>0</v>
      </c>
      <c r="AW55" s="7">
        <f>COUNTIF($C55:$AR55,AW$21)</f>
        <v>0</v>
      </c>
    </row>
    <row r="56" spans="1:49" ht="18" customHeight="1" x14ac:dyDescent="0.25">
      <c r="A56" s="47"/>
      <c r="B56" s="57" t="str">
        <f>+$B$24</f>
        <v>Miguel</v>
      </c>
      <c r="C56" s="124"/>
      <c r="D56" s="59"/>
      <c r="E56" s="73"/>
      <c r="F56" s="73"/>
      <c r="G56" s="73"/>
      <c r="H56" s="85"/>
      <c r="I56" s="76"/>
      <c r="J56" s="74"/>
      <c r="K56" s="77"/>
      <c r="L56" s="72"/>
      <c r="M56" s="72"/>
      <c r="N56" s="72"/>
      <c r="O56" s="72"/>
      <c r="P56" s="76"/>
      <c r="Q56" s="78"/>
      <c r="R56" s="59"/>
      <c r="S56" s="72"/>
      <c r="T56" s="72"/>
      <c r="U56" s="72"/>
      <c r="V56" s="75"/>
      <c r="W56" s="76"/>
      <c r="X56" s="74"/>
      <c r="Y56" s="77"/>
      <c r="Z56" s="72"/>
      <c r="AA56" s="72"/>
      <c r="AB56" s="72"/>
      <c r="AC56" s="75"/>
      <c r="AD56" s="76"/>
      <c r="AE56" s="78"/>
      <c r="AF56" s="59"/>
      <c r="AG56" s="75"/>
      <c r="AH56" s="72"/>
      <c r="AI56" s="72"/>
      <c r="AJ56" s="72"/>
      <c r="AK56" s="76"/>
      <c r="AL56" s="74"/>
      <c r="AM56" s="77"/>
      <c r="AN56" s="72"/>
      <c r="AO56" s="72"/>
      <c r="AP56" s="72"/>
      <c r="AQ56" s="75"/>
      <c r="AR56" s="74"/>
      <c r="AS56" s="79">
        <f t="shared" si="9"/>
        <v>0</v>
      </c>
      <c r="AT56" s="80">
        <f t="shared" si="9"/>
        <v>0</v>
      </c>
      <c r="AU56" s="80">
        <f t="shared" si="9"/>
        <v>0</v>
      </c>
      <c r="AV56" s="81">
        <f t="shared" si="9"/>
        <v>0</v>
      </c>
      <c r="AW56" s="7">
        <f>COUNTIF($C56:$AR56,AW$21)</f>
        <v>0</v>
      </c>
    </row>
    <row r="57" spans="1:49" ht="18" customHeight="1" x14ac:dyDescent="0.25">
      <c r="A57" s="47"/>
      <c r="B57" s="57" t="str">
        <f>+$B$25</f>
        <v>Gichelson</v>
      </c>
      <c r="C57" s="124"/>
      <c r="D57" s="59"/>
      <c r="E57" s="73"/>
      <c r="F57" s="73"/>
      <c r="G57" s="73"/>
      <c r="H57" s="85"/>
      <c r="I57" s="76"/>
      <c r="J57" s="74"/>
      <c r="K57" s="77"/>
      <c r="L57" s="72"/>
      <c r="M57" s="72"/>
      <c r="N57" s="72"/>
      <c r="O57" s="75"/>
      <c r="P57" s="76"/>
      <c r="Q57" s="78"/>
      <c r="R57" s="59"/>
      <c r="S57" s="72"/>
      <c r="T57" s="72"/>
      <c r="U57" s="72"/>
      <c r="V57" s="77"/>
      <c r="W57" s="76"/>
      <c r="X57" s="74"/>
      <c r="Y57" s="72"/>
      <c r="Z57" s="72"/>
      <c r="AA57" s="72"/>
      <c r="AB57" s="72"/>
      <c r="AC57" s="75"/>
      <c r="AD57" s="76"/>
      <c r="AE57" s="78"/>
      <c r="AF57" s="59"/>
      <c r="AG57" s="75"/>
      <c r="AH57" s="72"/>
      <c r="AI57" s="72"/>
      <c r="AJ57" s="72"/>
      <c r="AK57" s="76"/>
      <c r="AL57" s="74"/>
      <c r="AM57" s="77"/>
      <c r="AN57" s="72"/>
      <c r="AO57" s="72"/>
      <c r="AP57" s="72"/>
      <c r="AQ57" s="75"/>
      <c r="AR57" s="74"/>
      <c r="AS57" s="79">
        <f t="shared" si="9"/>
        <v>0</v>
      </c>
      <c r="AT57" s="80">
        <f t="shared" si="9"/>
        <v>0</v>
      </c>
      <c r="AU57" s="80">
        <f t="shared" si="9"/>
        <v>0</v>
      </c>
      <c r="AV57" s="81">
        <f t="shared" si="9"/>
        <v>0</v>
      </c>
      <c r="AW57" s="7">
        <f t="shared" si="9"/>
        <v>0</v>
      </c>
    </row>
    <row r="58" spans="1:49" ht="18" customHeight="1" thickBot="1" x14ac:dyDescent="0.3">
      <c r="A58" s="47"/>
      <c r="B58" s="89"/>
      <c r="C58" s="126"/>
      <c r="D58" s="96"/>
      <c r="E58" s="95"/>
      <c r="F58" s="95"/>
      <c r="G58" s="95"/>
      <c r="H58" s="97"/>
      <c r="I58" s="94"/>
      <c r="J58" s="93"/>
      <c r="K58" s="98"/>
      <c r="L58" s="95"/>
      <c r="M58" s="95"/>
      <c r="N58" s="95"/>
      <c r="O58" s="97"/>
      <c r="P58" s="94"/>
      <c r="Q58" s="115"/>
      <c r="R58" s="96"/>
      <c r="S58" s="95"/>
      <c r="T58" s="95"/>
      <c r="U58" s="95"/>
      <c r="V58" s="94"/>
      <c r="W58" s="94"/>
      <c r="X58" s="93"/>
      <c r="Y58" s="98"/>
      <c r="Z58" s="95"/>
      <c r="AA58" s="95"/>
      <c r="AB58" s="95"/>
      <c r="AC58" s="97"/>
      <c r="AD58" s="94"/>
      <c r="AE58" s="115"/>
      <c r="AF58" s="96"/>
      <c r="AG58" s="95"/>
      <c r="AH58" s="95"/>
      <c r="AI58" s="92"/>
      <c r="AJ58" s="97"/>
      <c r="AK58" s="94"/>
      <c r="AL58" s="93"/>
      <c r="AM58" s="98"/>
      <c r="AN58" s="95"/>
      <c r="AO58" s="95"/>
      <c r="AP58" s="95"/>
      <c r="AQ58" s="97"/>
      <c r="AR58" s="93"/>
      <c r="AS58" s="100">
        <f t="shared" si="9"/>
        <v>0</v>
      </c>
      <c r="AT58" s="101">
        <f t="shared" si="9"/>
        <v>0</v>
      </c>
      <c r="AU58" s="101">
        <f t="shared" si="9"/>
        <v>0</v>
      </c>
      <c r="AV58" s="102">
        <f t="shared" si="9"/>
        <v>0</v>
      </c>
      <c r="AW58" s="7">
        <f t="shared" si="9"/>
        <v>0</v>
      </c>
    </row>
    <row r="59" spans="1:49" ht="18" customHeight="1" x14ac:dyDescent="0.25">
      <c r="A59" s="47"/>
      <c r="B59" s="103"/>
      <c r="C59" s="25"/>
      <c r="D59" s="25"/>
      <c r="E59" s="25"/>
      <c r="F59" s="25"/>
      <c r="G59" s="25"/>
      <c r="H59" s="25"/>
      <c r="I59" s="25"/>
      <c r="J59" s="103"/>
      <c r="K59" s="103"/>
      <c r="L59" s="25"/>
      <c r="M59" s="25"/>
      <c r="N59" s="25"/>
      <c r="O59" s="25"/>
      <c r="P59" s="25"/>
      <c r="Q59" s="25"/>
      <c r="R59" s="25"/>
      <c r="S59" s="103"/>
      <c r="T59" s="103"/>
      <c r="U59" s="25"/>
      <c r="V59" s="25"/>
      <c r="W59" s="25"/>
      <c r="X59" s="25"/>
      <c r="Y59" s="25"/>
      <c r="Z59" s="25"/>
      <c r="AA59" s="25"/>
      <c r="AB59" s="25"/>
    </row>
    <row r="60" spans="1:49" ht="18" customHeight="1" thickBot="1" x14ac:dyDescent="0.3">
      <c r="A60" s="47"/>
      <c r="B60" s="161" t="s">
        <v>41</v>
      </c>
      <c r="C60" s="161"/>
      <c r="D60" s="161"/>
      <c r="E60" s="161"/>
      <c r="F60" s="161"/>
      <c r="G60" s="161"/>
      <c r="H60" s="161"/>
      <c r="I60" s="161"/>
      <c r="J60" s="103"/>
      <c r="K60" s="103">
        <v>6</v>
      </c>
      <c r="L60" s="25"/>
      <c r="M60" s="25"/>
      <c r="N60" s="25"/>
      <c r="O60" s="25"/>
      <c r="P60" s="25"/>
      <c r="Q60" s="25"/>
      <c r="R60" s="25"/>
      <c r="S60" s="103"/>
      <c r="T60" s="103"/>
      <c r="U60" s="25"/>
      <c r="V60" s="25"/>
      <c r="W60" s="25"/>
      <c r="X60" s="25"/>
      <c r="Y60" s="25"/>
      <c r="Z60" s="25"/>
      <c r="AA60" s="25"/>
      <c r="AB60" s="104"/>
    </row>
    <row r="61" spans="1:49" ht="18" customHeight="1" thickBot="1" x14ac:dyDescent="0.3">
      <c r="A61" s="47"/>
      <c r="B61" s="36" t="s">
        <v>23</v>
      </c>
      <c r="C61" s="121" t="s">
        <v>24</v>
      </c>
      <c r="D61" s="38" t="s">
        <v>25</v>
      </c>
      <c r="E61" s="39" t="s">
        <v>26</v>
      </c>
      <c r="F61" s="39" t="s">
        <v>27</v>
      </c>
      <c r="G61" s="39" t="s">
        <v>28</v>
      </c>
      <c r="H61" s="39" t="s">
        <v>29</v>
      </c>
      <c r="I61" s="40" t="s">
        <v>30</v>
      </c>
      <c r="J61" s="41" t="s">
        <v>24</v>
      </c>
      <c r="K61" s="42" t="s">
        <v>25</v>
      </c>
      <c r="L61" s="39" t="s">
        <v>26</v>
      </c>
      <c r="M61" s="39" t="s">
        <v>27</v>
      </c>
      <c r="N61" s="39" t="s">
        <v>28</v>
      </c>
      <c r="O61" s="39" t="s">
        <v>29</v>
      </c>
      <c r="P61" s="40" t="s">
        <v>30</v>
      </c>
      <c r="Q61" s="106" t="s">
        <v>24</v>
      </c>
      <c r="R61" s="38" t="s">
        <v>25</v>
      </c>
      <c r="S61" s="39" t="s">
        <v>26</v>
      </c>
      <c r="T61" s="39" t="s">
        <v>27</v>
      </c>
      <c r="U61" s="39" t="s">
        <v>28</v>
      </c>
      <c r="V61" s="39" t="s">
        <v>29</v>
      </c>
      <c r="W61" s="40" t="s">
        <v>30</v>
      </c>
      <c r="X61" s="41" t="s">
        <v>24</v>
      </c>
      <c r="Y61" s="42" t="s">
        <v>25</v>
      </c>
      <c r="Z61" s="39" t="s">
        <v>26</v>
      </c>
      <c r="AA61" s="39" t="s">
        <v>27</v>
      </c>
      <c r="AB61" s="39" t="s">
        <v>28</v>
      </c>
      <c r="AC61" s="39" t="s">
        <v>29</v>
      </c>
      <c r="AD61" s="40" t="s">
        <v>30</v>
      </c>
      <c r="AE61" s="106" t="s">
        <v>24</v>
      </c>
      <c r="AF61" s="38" t="s">
        <v>25</v>
      </c>
      <c r="AG61" s="39" t="s">
        <v>26</v>
      </c>
      <c r="AH61" s="39" t="s">
        <v>27</v>
      </c>
      <c r="AI61" s="39" t="s">
        <v>28</v>
      </c>
      <c r="AJ61" s="39" t="s">
        <v>29</v>
      </c>
      <c r="AK61" s="40" t="s">
        <v>30</v>
      </c>
      <c r="AL61" s="41" t="s">
        <v>24</v>
      </c>
      <c r="AM61" s="42" t="s">
        <v>25</v>
      </c>
      <c r="AN61" s="39" t="s">
        <v>26</v>
      </c>
      <c r="AO61" s="39" t="s">
        <v>27</v>
      </c>
      <c r="AP61" s="39" t="s">
        <v>28</v>
      </c>
      <c r="AQ61" s="39" t="s">
        <v>29</v>
      </c>
      <c r="AR61" s="41" t="s">
        <v>30</v>
      </c>
      <c r="AS61" s="45" t="str">
        <f>+AS53</f>
        <v>F25</v>
      </c>
      <c r="AT61" s="45" t="str">
        <f>+AT53</f>
        <v>F24</v>
      </c>
      <c r="AU61" s="45" t="str">
        <f>+AU53</f>
        <v>DFT</v>
      </c>
      <c r="AV61" s="46" t="s">
        <v>34</v>
      </c>
      <c r="AW61" s="7" t="s">
        <v>35</v>
      </c>
    </row>
    <row r="62" spans="1:49" ht="18" customHeight="1" thickBot="1" x14ac:dyDescent="0.3">
      <c r="A62" s="47"/>
      <c r="B62" s="48"/>
      <c r="C62" s="122">
        <f>IF($U$4=1,1,0)</f>
        <v>1</v>
      </c>
      <c r="D62" s="50">
        <f>IF($V$4=1,1, IF(C62&gt;0,C62+1, 0))</f>
        <v>2</v>
      </c>
      <c r="E62" s="51">
        <f>IF($W$4=1,1, IF(D62&gt;0,D62+1, 0))</f>
        <v>3</v>
      </c>
      <c r="F62" s="51">
        <f>IF($X$4=1,1, IF(E62&gt;0,E62+1, 0))</f>
        <v>4</v>
      </c>
      <c r="G62" s="51">
        <f>IF($Y$4=1,1, IF(F62&gt;0,F62+1, 0))</f>
        <v>5</v>
      </c>
      <c r="H62" s="52">
        <f>IF($Z$4=1,1, IF(G62&gt;0,G62+1, 0))</f>
        <v>6</v>
      </c>
      <c r="I62" s="53">
        <f>IF($AA$4=1,1, IF(H62&gt;0,H62+1, 0))</f>
        <v>7</v>
      </c>
      <c r="J62" s="54">
        <f t="shared" ref="J62:AR62" si="10">IF(AND(I62&gt;0,I62&lt;30),I62+1,0)</f>
        <v>8</v>
      </c>
      <c r="K62" s="55">
        <f t="shared" si="10"/>
        <v>9</v>
      </c>
      <c r="L62" s="51">
        <f t="shared" si="10"/>
        <v>10</v>
      </c>
      <c r="M62" s="51">
        <f t="shared" si="10"/>
        <v>11</v>
      </c>
      <c r="N62" s="51">
        <f t="shared" si="10"/>
        <v>12</v>
      </c>
      <c r="O62" s="52">
        <f t="shared" si="10"/>
        <v>13</v>
      </c>
      <c r="P62" s="53">
        <f t="shared" si="10"/>
        <v>14</v>
      </c>
      <c r="Q62" s="107">
        <f t="shared" si="10"/>
        <v>15</v>
      </c>
      <c r="R62" s="50">
        <f t="shared" si="10"/>
        <v>16</v>
      </c>
      <c r="S62" s="51">
        <f t="shared" si="10"/>
        <v>17</v>
      </c>
      <c r="T62" s="51">
        <f t="shared" si="10"/>
        <v>18</v>
      </c>
      <c r="U62" s="51">
        <f t="shared" si="10"/>
        <v>19</v>
      </c>
      <c r="V62" s="52">
        <f t="shared" si="10"/>
        <v>20</v>
      </c>
      <c r="W62" s="53">
        <f t="shared" si="10"/>
        <v>21</v>
      </c>
      <c r="X62" s="54">
        <f t="shared" si="10"/>
        <v>22</v>
      </c>
      <c r="Y62" s="55">
        <f>IF(AND(X62&gt;0,X62&lt;30),X62+1,0)</f>
        <v>23</v>
      </c>
      <c r="Z62" s="51">
        <f t="shared" si="10"/>
        <v>24</v>
      </c>
      <c r="AA62" s="51">
        <f t="shared" si="10"/>
        <v>25</v>
      </c>
      <c r="AB62" s="51">
        <f t="shared" si="10"/>
        <v>26</v>
      </c>
      <c r="AC62" s="52">
        <f t="shared" si="10"/>
        <v>27</v>
      </c>
      <c r="AD62" s="53">
        <f t="shared" si="10"/>
        <v>28</v>
      </c>
      <c r="AE62" s="107">
        <f t="shared" si="10"/>
        <v>29</v>
      </c>
      <c r="AF62" s="50">
        <f t="shared" si="10"/>
        <v>30</v>
      </c>
      <c r="AG62" s="51">
        <f t="shared" si="10"/>
        <v>0</v>
      </c>
      <c r="AH62" s="51">
        <f t="shared" si="10"/>
        <v>0</v>
      </c>
      <c r="AI62" s="51">
        <f t="shared" si="10"/>
        <v>0</v>
      </c>
      <c r="AJ62" s="52">
        <f t="shared" si="10"/>
        <v>0</v>
      </c>
      <c r="AK62" s="53">
        <f t="shared" si="10"/>
        <v>0</v>
      </c>
      <c r="AL62" s="56">
        <f t="shared" si="10"/>
        <v>0</v>
      </c>
      <c r="AM62" s="55">
        <f t="shared" si="10"/>
        <v>0</v>
      </c>
      <c r="AN62" s="51">
        <f t="shared" si="10"/>
        <v>0</v>
      </c>
      <c r="AO62" s="51">
        <f t="shared" si="10"/>
        <v>0</v>
      </c>
      <c r="AP62" s="51">
        <f t="shared" si="10"/>
        <v>0</v>
      </c>
      <c r="AQ62" s="52">
        <f t="shared" si="10"/>
        <v>0</v>
      </c>
      <c r="AR62" s="56">
        <f t="shared" si="10"/>
        <v>0</v>
      </c>
    </row>
    <row r="63" spans="1:49" ht="18" customHeight="1" x14ac:dyDescent="0.25">
      <c r="A63" s="47"/>
      <c r="B63" s="109" t="str">
        <f>+$B$23</f>
        <v xml:space="preserve">Pedro </v>
      </c>
      <c r="C63" s="123"/>
      <c r="D63" s="63"/>
      <c r="E63" s="60"/>
      <c r="F63" s="60"/>
      <c r="G63" s="60"/>
      <c r="H63" s="64"/>
      <c r="I63" s="65"/>
      <c r="J63" s="62"/>
      <c r="K63" s="66"/>
      <c r="L63" s="60"/>
      <c r="M63" s="60"/>
      <c r="N63" s="72"/>
      <c r="O63" s="75"/>
      <c r="P63" s="65"/>
      <c r="Q63" s="67"/>
      <c r="R63" s="63"/>
      <c r="S63" s="72"/>
      <c r="T63" s="60"/>
      <c r="U63" s="60"/>
      <c r="V63" s="64"/>
      <c r="W63" s="65"/>
      <c r="X63" s="62"/>
      <c r="Y63" s="66"/>
      <c r="Z63" s="60"/>
      <c r="AA63" s="60"/>
      <c r="AB63" s="60"/>
      <c r="AC63" s="64"/>
      <c r="AD63" s="65"/>
      <c r="AE63" s="67"/>
      <c r="AF63" s="63"/>
      <c r="AG63" s="60"/>
      <c r="AH63" s="60"/>
      <c r="AI63" s="60"/>
      <c r="AJ63" s="64"/>
      <c r="AK63" s="65"/>
      <c r="AL63" s="62"/>
      <c r="AM63" s="66"/>
      <c r="AN63" s="60"/>
      <c r="AO63" s="60"/>
      <c r="AP63" s="60"/>
      <c r="AQ63" s="64"/>
      <c r="AR63" s="62"/>
      <c r="AS63" s="68">
        <f t="shared" ref="AS63:AW66" si="11">COUNTIF($C63:$AR63,AS$21)</f>
        <v>0</v>
      </c>
      <c r="AT63" s="69">
        <f t="shared" si="11"/>
        <v>0</v>
      </c>
      <c r="AU63" s="69">
        <f t="shared" si="11"/>
        <v>0</v>
      </c>
      <c r="AV63" s="70">
        <f t="shared" si="11"/>
        <v>0</v>
      </c>
      <c r="AW63" s="7">
        <f>COUNTIF($C63:$AR63,AW$21)</f>
        <v>0</v>
      </c>
    </row>
    <row r="64" spans="1:49" ht="18" customHeight="1" x14ac:dyDescent="0.25">
      <c r="A64" s="47"/>
      <c r="B64" s="57" t="str">
        <f>+$B$24</f>
        <v>Miguel</v>
      </c>
      <c r="C64" s="124"/>
      <c r="D64" s="59"/>
      <c r="E64" s="72"/>
      <c r="F64" s="72"/>
      <c r="G64" s="72"/>
      <c r="H64" s="60"/>
      <c r="I64" s="76"/>
      <c r="J64" s="74"/>
      <c r="K64" s="66"/>
      <c r="L64" s="72"/>
      <c r="M64" s="60"/>
      <c r="N64" s="72"/>
      <c r="O64" s="75"/>
      <c r="P64" s="76"/>
      <c r="Q64" s="78"/>
      <c r="R64" s="59"/>
      <c r="S64" s="60"/>
      <c r="T64" s="72"/>
      <c r="U64" s="60"/>
      <c r="V64" s="76"/>
      <c r="W64" s="76"/>
      <c r="X64" s="74"/>
      <c r="Y64" s="77"/>
      <c r="Z64" s="72"/>
      <c r="AA64" s="72"/>
      <c r="AB64" s="72"/>
      <c r="AC64" s="72"/>
      <c r="AD64" s="76"/>
      <c r="AE64" s="78"/>
      <c r="AF64" s="59"/>
      <c r="AG64" s="72"/>
      <c r="AH64" s="72"/>
      <c r="AI64" s="72"/>
      <c r="AJ64" s="75"/>
      <c r="AK64" s="76"/>
      <c r="AL64" s="74"/>
      <c r="AM64" s="77"/>
      <c r="AN64" s="72"/>
      <c r="AO64" s="72"/>
      <c r="AP64" s="72"/>
      <c r="AQ64" s="75"/>
      <c r="AR64" s="74"/>
      <c r="AS64" s="79">
        <f t="shared" si="11"/>
        <v>0</v>
      </c>
      <c r="AT64" s="80">
        <f t="shared" si="11"/>
        <v>0</v>
      </c>
      <c r="AU64" s="80">
        <f t="shared" si="11"/>
        <v>0</v>
      </c>
      <c r="AV64" s="81">
        <f t="shared" si="11"/>
        <v>0</v>
      </c>
      <c r="AW64" s="7">
        <f>COUNTIF($C64:$AR64,AW$21)</f>
        <v>0</v>
      </c>
    </row>
    <row r="65" spans="1:49" ht="18" customHeight="1" x14ac:dyDescent="0.25">
      <c r="A65" s="47"/>
      <c r="B65" s="57" t="str">
        <f>+$B$25</f>
        <v>Gichelson</v>
      </c>
      <c r="C65" s="124"/>
      <c r="D65" s="59"/>
      <c r="E65" s="72"/>
      <c r="F65" s="72"/>
      <c r="G65" s="72"/>
      <c r="H65" s="75"/>
      <c r="I65" s="76"/>
      <c r="J65" s="74"/>
      <c r="K65" s="66"/>
      <c r="L65" s="60"/>
      <c r="M65" s="60"/>
      <c r="N65" s="72"/>
      <c r="O65" s="75"/>
      <c r="P65" s="76"/>
      <c r="Q65" s="78"/>
      <c r="R65" s="59"/>
      <c r="S65" s="72"/>
      <c r="T65" s="72"/>
      <c r="U65" s="72"/>
      <c r="V65" s="75"/>
      <c r="W65" s="76"/>
      <c r="X65" s="74"/>
      <c r="Y65" s="77"/>
      <c r="Z65" s="72"/>
      <c r="AA65" s="72"/>
      <c r="AB65" s="72"/>
      <c r="AC65" s="76"/>
      <c r="AD65" s="76"/>
      <c r="AE65" s="78"/>
      <c r="AF65" s="59"/>
      <c r="AG65" s="72"/>
      <c r="AH65" s="72"/>
      <c r="AI65" s="72"/>
      <c r="AJ65" s="75"/>
      <c r="AK65" s="76"/>
      <c r="AL65" s="74"/>
      <c r="AM65" s="77"/>
      <c r="AN65" s="72"/>
      <c r="AO65" s="72"/>
      <c r="AP65" s="72"/>
      <c r="AQ65" s="75"/>
      <c r="AR65" s="74"/>
      <c r="AS65" s="79">
        <f t="shared" si="11"/>
        <v>0</v>
      </c>
      <c r="AT65" s="80">
        <f t="shared" si="11"/>
        <v>0</v>
      </c>
      <c r="AU65" s="80">
        <f t="shared" si="11"/>
        <v>0</v>
      </c>
      <c r="AV65" s="81">
        <f t="shared" si="11"/>
        <v>0</v>
      </c>
      <c r="AW65" s="7">
        <f t="shared" si="11"/>
        <v>0</v>
      </c>
    </row>
    <row r="66" spans="1:49" ht="18" customHeight="1" thickBot="1" x14ac:dyDescent="0.3">
      <c r="A66" s="47"/>
      <c r="B66" s="89"/>
      <c r="C66" s="126"/>
      <c r="D66" s="96"/>
      <c r="E66" s="95"/>
      <c r="F66" s="95"/>
      <c r="G66" s="95"/>
      <c r="H66" s="95"/>
      <c r="I66" s="95"/>
      <c r="J66" s="93"/>
      <c r="K66" s="98"/>
      <c r="L66" s="95"/>
      <c r="M66" s="95"/>
      <c r="N66" s="95"/>
      <c r="O66" s="94"/>
      <c r="P66" s="94"/>
      <c r="Q66" s="115"/>
      <c r="R66" s="96"/>
      <c r="S66" s="95"/>
      <c r="T66" s="95"/>
      <c r="U66" s="95"/>
      <c r="V66" s="92"/>
      <c r="W66" s="94"/>
      <c r="X66" s="93"/>
      <c r="Y66" s="98"/>
      <c r="Z66" s="95"/>
      <c r="AA66" s="95"/>
      <c r="AB66" s="95"/>
      <c r="AC66" s="97"/>
      <c r="AD66" s="94"/>
      <c r="AE66" s="115"/>
      <c r="AF66" s="96"/>
      <c r="AG66" s="95"/>
      <c r="AH66" s="95"/>
      <c r="AI66" s="92"/>
      <c r="AJ66" s="97"/>
      <c r="AK66" s="94"/>
      <c r="AL66" s="93"/>
      <c r="AM66" s="98"/>
      <c r="AN66" s="95"/>
      <c r="AO66" s="95"/>
      <c r="AP66" s="95"/>
      <c r="AQ66" s="97"/>
      <c r="AR66" s="93"/>
      <c r="AS66" s="100">
        <f t="shared" si="11"/>
        <v>0</v>
      </c>
      <c r="AT66" s="101">
        <f t="shared" si="11"/>
        <v>0</v>
      </c>
      <c r="AU66" s="101">
        <f t="shared" si="11"/>
        <v>0</v>
      </c>
      <c r="AV66" s="102">
        <f t="shared" si="11"/>
        <v>0</v>
      </c>
      <c r="AW66" s="7">
        <f t="shared" si="11"/>
        <v>0</v>
      </c>
    </row>
    <row r="67" spans="1:49" ht="18" customHeight="1" x14ac:dyDescent="0.25">
      <c r="A67" s="47"/>
      <c r="B67" s="103"/>
      <c r="C67" s="25"/>
      <c r="D67" s="25"/>
      <c r="E67" s="25"/>
      <c r="F67" s="25"/>
      <c r="G67" s="25"/>
      <c r="H67" s="25"/>
      <c r="I67" s="25"/>
      <c r="J67" s="103"/>
      <c r="K67" s="103"/>
      <c r="L67" s="25"/>
      <c r="M67" s="25"/>
      <c r="N67" s="25"/>
      <c r="O67" s="25"/>
      <c r="P67" s="25"/>
      <c r="Q67" s="25"/>
      <c r="R67" s="25"/>
      <c r="S67" s="103"/>
      <c r="T67" s="103"/>
      <c r="U67" s="25"/>
      <c r="V67" s="25"/>
      <c r="W67" s="25"/>
      <c r="X67" s="25"/>
      <c r="Y67" s="25"/>
      <c r="Z67" s="25"/>
      <c r="AA67" s="25"/>
      <c r="AB67" s="25"/>
    </row>
    <row r="68" spans="1:49" s="32" customFormat="1" ht="18" customHeight="1" thickBot="1" x14ac:dyDescent="0.3">
      <c r="A68" s="30"/>
      <c r="B68" s="161" t="s">
        <v>42</v>
      </c>
      <c r="C68" s="161"/>
      <c r="D68" s="161"/>
      <c r="E68" s="161"/>
      <c r="F68" s="161"/>
      <c r="G68" s="161"/>
      <c r="H68" s="161"/>
      <c r="I68" s="161"/>
      <c r="J68" s="31"/>
      <c r="K68" s="32">
        <v>7</v>
      </c>
      <c r="S68" s="31"/>
      <c r="AB68" s="33"/>
    </row>
    <row r="69" spans="1:49" ht="18" customHeight="1" thickBot="1" x14ac:dyDescent="0.3">
      <c r="A69" s="47"/>
      <c r="B69" s="36" t="s">
        <v>23</v>
      </c>
      <c r="C69" s="121" t="s">
        <v>24</v>
      </c>
      <c r="D69" s="38" t="s">
        <v>25</v>
      </c>
      <c r="E69" s="39" t="s">
        <v>26</v>
      </c>
      <c r="F69" s="39" t="s">
        <v>27</v>
      </c>
      <c r="G69" s="39" t="s">
        <v>28</v>
      </c>
      <c r="H69" s="39" t="s">
        <v>29</v>
      </c>
      <c r="I69" s="40" t="s">
        <v>30</v>
      </c>
      <c r="J69" s="41" t="s">
        <v>24</v>
      </c>
      <c r="K69" s="38" t="s">
        <v>25</v>
      </c>
      <c r="L69" s="39" t="s">
        <v>26</v>
      </c>
      <c r="M69" s="39" t="s">
        <v>27</v>
      </c>
      <c r="N69" s="39" t="s">
        <v>28</v>
      </c>
      <c r="O69" s="39" t="s">
        <v>29</v>
      </c>
      <c r="P69" s="40" t="s">
        <v>30</v>
      </c>
      <c r="Q69" s="41" t="s">
        <v>24</v>
      </c>
      <c r="R69" s="42" t="s">
        <v>25</v>
      </c>
      <c r="S69" s="39" t="s">
        <v>26</v>
      </c>
      <c r="T69" s="39" t="s">
        <v>27</v>
      </c>
      <c r="U69" s="39" t="s">
        <v>28</v>
      </c>
      <c r="V69" s="39" t="s">
        <v>29</v>
      </c>
      <c r="W69" s="40" t="s">
        <v>30</v>
      </c>
      <c r="X69" s="41" t="s">
        <v>24</v>
      </c>
      <c r="Y69" s="42" t="s">
        <v>25</v>
      </c>
      <c r="Z69" s="39" t="s">
        <v>26</v>
      </c>
      <c r="AA69" s="39" t="s">
        <v>27</v>
      </c>
      <c r="AB69" s="39" t="s">
        <v>28</v>
      </c>
      <c r="AC69" s="39" t="s">
        <v>29</v>
      </c>
      <c r="AD69" s="40" t="s">
        <v>30</v>
      </c>
      <c r="AE69" s="106" t="s">
        <v>24</v>
      </c>
      <c r="AF69" s="38" t="s">
        <v>25</v>
      </c>
      <c r="AG69" s="39" t="s">
        <v>26</v>
      </c>
      <c r="AH69" s="39" t="s">
        <v>27</v>
      </c>
      <c r="AI69" s="39" t="s">
        <v>28</v>
      </c>
      <c r="AJ69" s="39" t="s">
        <v>29</v>
      </c>
      <c r="AK69" s="40" t="s">
        <v>30</v>
      </c>
      <c r="AL69" s="41" t="s">
        <v>24</v>
      </c>
      <c r="AM69" s="42" t="s">
        <v>25</v>
      </c>
      <c r="AN69" s="39" t="s">
        <v>26</v>
      </c>
      <c r="AO69" s="39" t="s">
        <v>27</v>
      </c>
      <c r="AP69" s="39" t="s">
        <v>28</v>
      </c>
      <c r="AQ69" s="39" t="s">
        <v>29</v>
      </c>
      <c r="AR69" s="41" t="s">
        <v>30</v>
      </c>
      <c r="AS69" s="45" t="str">
        <f>+AS61</f>
        <v>F25</v>
      </c>
      <c r="AT69" s="45" t="str">
        <f>+AT61</f>
        <v>F24</v>
      </c>
      <c r="AU69" s="45" t="str">
        <f>+AU61</f>
        <v>DFT</v>
      </c>
      <c r="AV69" s="46" t="s">
        <v>34</v>
      </c>
      <c r="AW69" s="7" t="s">
        <v>35</v>
      </c>
    </row>
    <row r="70" spans="1:49" ht="18" customHeight="1" thickBot="1" x14ac:dyDescent="0.3">
      <c r="A70" s="47"/>
      <c r="B70" s="48"/>
      <c r="C70" s="122">
        <f>IF($C$5=1,1,0)</f>
        <v>0</v>
      </c>
      <c r="D70" s="50">
        <f>IF($D$5=1,1, IF(C70&gt;0,C70+1, 0))</f>
        <v>0</v>
      </c>
      <c r="E70" s="51">
        <f>IF($E$5=1,1, IF(D70&gt;0,D70+1, 0))</f>
        <v>1</v>
      </c>
      <c r="F70" s="51">
        <f>IF($F$5=1,1, IF(E70&gt;0,E70+1, 0))</f>
        <v>2</v>
      </c>
      <c r="G70" s="51">
        <f>IF($G$5=1,1, IF(F70&gt;0,F70+1, 0))</f>
        <v>3</v>
      </c>
      <c r="H70" s="52">
        <f>IF($H$5=1,1, IF(G70&gt;0,G70+1, 0))</f>
        <v>4</v>
      </c>
      <c r="I70" s="53">
        <f>IF($I$5=1,1, IF(H70&gt;0,H70+1, 0))</f>
        <v>5</v>
      </c>
      <c r="J70" s="54">
        <f t="shared" ref="J70:AR70" si="12">IF(AND(I70&gt;0,I70&lt;31),I70+1,0)</f>
        <v>6</v>
      </c>
      <c r="K70" s="50">
        <f t="shared" si="12"/>
        <v>7</v>
      </c>
      <c r="L70" s="51">
        <f t="shared" si="12"/>
        <v>8</v>
      </c>
      <c r="M70" s="51">
        <f t="shared" si="12"/>
        <v>9</v>
      </c>
      <c r="N70" s="51">
        <f t="shared" si="12"/>
        <v>10</v>
      </c>
      <c r="O70" s="52">
        <f t="shared" si="12"/>
        <v>11</v>
      </c>
      <c r="P70" s="53">
        <f t="shared" si="12"/>
        <v>12</v>
      </c>
      <c r="Q70" s="54">
        <f t="shared" si="12"/>
        <v>13</v>
      </c>
      <c r="R70" s="55">
        <f t="shared" si="12"/>
        <v>14</v>
      </c>
      <c r="S70" s="51">
        <f t="shared" si="12"/>
        <v>15</v>
      </c>
      <c r="T70" s="51">
        <f t="shared" si="12"/>
        <v>16</v>
      </c>
      <c r="U70" s="51">
        <f t="shared" si="12"/>
        <v>17</v>
      </c>
      <c r="V70" s="52">
        <f t="shared" si="12"/>
        <v>18</v>
      </c>
      <c r="W70" s="53">
        <f t="shared" si="12"/>
        <v>19</v>
      </c>
      <c r="X70" s="54">
        <f t="shared" si="12"/>
        <v>20</v>
      </c>
      <c r="Y70" s="55">
        <f>IF(AND(X70&gt;0,X70&lt;31),X70+1,0)</f>
        <v>21</v>
      </c>
      <c r="Z70" s="51">
        <f t="shared" si="12"/>
        <v>22</v>
      </c>
      <c r="AA70" s="51">
        <f t="shared" si="12"/>
        <v>23</v>
      </c>
      <c r="AB70" s="51">
        <f t="shared" si="12"/>
        <v>24</v>
      </c>
      <c r="AC70" s="52">
        <f t="shared" si="12"/>
        <v>25</v>
      </c>
      <c r="AD70" s="53">
        <f t="shared" si="12"/>
        <v>26</v>
      </c>
      <c r="AE70" s="107">
        <f t="shared" si="12"/>
        <v>27</v>
      </c>
      <c r="AF70" s="50">
        <f t="shared" si="12"/>
        <v>28</v>
      </c>
      <c r="AG70" s="51">
        <f t="shared" si="12"/>
        <v>29</v>
      </c>
      <c r="AH70" s="51">
        <f t="shared" si="12"/>
        <v>30</v>
      </c>
      <c r="AI70" s="51">
        <f t="shared" si="12"/>
        <v>31</v>
      </c>
      <c r="AJ70" s="52">
        <f t="shared" si="12"/>
        <v>0</v>
      </c>
      <c r="AK70" s="53">
        <f t="shared" si="12"/>
        <v>0</v>
      </c>
      <c r="AL70" s="54">
        <f t="shared" si="12"/>
        <v>0</v>
      </c>
      <c r="AM70" s="55">
        <f t="shared" si="12"/>
        <v>0</v>
      </c>
      <c r="AN70" s="51">
        <f t="shared" si="12"/>
        <v>0</v>
      </c>
      <c r="AO70" s="51">
        <f t="shared" si="12"/>
        <v>0</v>
      </c>
      <c r="AP70" s="51">
        <f t="shared" si="12"/>
        <v>0</v>
      </c>
      <c r="AQ70" s="52">
        <f t="shared" si="12"/>
        <v>0</v>
      </c>
      <c r="AR70" s="56">
        <f t="shared" si="12"/>
        <v>0</v>
      </c>
    </row>
    <row r="71" spans="1:49" ht="18" customHeight="1" x14ac:dyDescent="0.25">
      <c r="A71" s="47"/>
      <c r="B71" s="109" t="str">
        <f>+$B$23</f>
        <v xml:space="preserve">Pedro </v>
      </c>
      <c r="C71" s="123"/>
      <c r="D71" s="63"/>
      <c r="E71" s="60"/>
      <c r="F71" s="60"/>
      <c r="G71" s="60"/>
      <c r="H71" s="64"/>
      <c r="I71" s="65"/>
      <c r="J71" s="62"/>
      <c r="K71" s="63"/>
      <c r="L71" s="60"/>
      <c r="M71" s="60"/>
      <c r="N71" s="60"/>
      <c r="O71" s="75"/>
      <c r="P71" s="65"/>
      <c r="Q71" s="62"/>
      <c r="R71" s="72"/>
      <c r="S71" s="60"/>
      <c r="T71" s="60"/>
      <c r="U71" s="60"/>
      <c r="V71" s="64"/>
      <c r="W71" s="65"/>
      <c r="X71" s="62"/>
      <c r="Y71" s="72"/>
      <c r="Z71" s="72"/>
      <c r="AA71" s="72"/>
      <c r="AB71" s="72"/>
      <c r="AC71" s="72"/>
      <c r="AD71" s="65"/>
      <c r="AE71" s="127"/>
      <c r="AF71" s="72"/>
      <c r="AG71" s="72"/>
      <c r="AH71" s="72"/>
      <c r="AI71" s="72"/>
      <c r="AJ71" s="72"/>
      <c r="AK71" s="65"/>
      <c r="AL71" s="62"/>
      <c r="AM71" s="77"/>
      <c r="AN71" s="60"/>
      <c r="AO71" s="60"/>
      <c r="AP71" s="60"/>
      <c r="AQ71" s="64"/>
      <c r="AR71" s="62"/>
      <c r="AS71" s="68">
        <f t="shared" ref="AS71:AW74" si="13">COUNTIF($C71:$AR71,AS$21)</f>
        <v>0</v>
      </c>
      <c r="AT71" s="69">
        <f t="shared" si="13"/>
        <v>0</v>
      </c>
      <c r="AU71" s="69">
        <f t="shared" si="13"/>
        <v>0</v>
      </c>
      <c r="AV71" s="70">
        <f t="shared" si="13"/>
        <v>0</v>
      </c>
      <c r="AW71" s="7">
        <f>COUNTIF($C71:$AR71,AW$21)</f>
        <v>0</v>
      </c>
    </row>
    <row r="72" spans="1:49" ht="18" customHeight="1" x14ac:dyDescent="0.25">
      <c r="A72" s="47"/>
      <c r="B72" s="57" t="str">
        <f>+$B$24</f>
        <v>Miguel</v>
      </c>
      <c r="C72" s="124"/>
      <c r="D72" s="59"/>
      <c r="E72" s="72"/>
      <c r="F72" s="72"/>
      <c r="G72" s="72"/>
      <c r="H72" s="75"/>
      <c r="I72" s="86"/>
      <c r="J72" s="87"/>
      <c r="K72" s="59"/>
      <c r="L72" s="72"/>
      <c r="M72" s="72"/>
      <c r="N72" s="72"/>
      <c r="O72" s="75"/>
      <c r="P72" s="76"/>
      <c r="Q72" s="74"/>
      <c r="R72" s="72"/>
      <c r="S72" s="72"/>
      <c r="T72" s="72"/>
      <c r="U72" s="72"/>
      <c r="V72" s="72"/>
      <c r="W72" s="76"/>
      <c r="X72" s="74"/>
      <c r="Y72" s="72"/>
      <c r="Z72" s="72"/>
      <c r="AA72" s="72"/>
      <c r="AB72" s="72"/>
      <c r="AC72" s="72"/>
      <c r="AD72" s="76"/>
      <c r="AE72" s="74"/>
      <c r="AF72" s="72"/>
      <c r="AG72" s="72"/>
      <c r="AH72" s="72"/>
      <c r="AI72" s="72"/>
      <c r="AJ72" s="72"/>
      <c r="AK72" s="76"/>
      <c r="AL72" s="74"/>
      <c r="AM72" s="77"/>
      <c r="AN72" s="72"/>
      <c r="AO72" s="73"/>
      <c r="AP72" s="72"/>
      <c r="AQ72" s="75"/>
      <c r="AR72" s="74"/>
      <c r="AS72" s="79">
        <f t="shared" si="13"/>
        <v>0</v>
      </c>
      <c r="AT72" s="80">
        <f t="shared" si="13"/>
        <v>0</v>
      </c>
      <c r="AU72" s="80">
        <f t="shared" si="13"/>
        <v>0</v>
      </c>
      <c r="AV72" s="81">
        <f t="shared" si="13"/>
        <v>0</v>
      </c>
      <c r="AW72" s="7">
        <f>COUNTIF($C72:$AR72,AW$21)</f>
        <v>0</v>
      </c>
    </row>
    <row r="73" spans="1:49" ht="18" customHeight="1" x14ac:dyDescent="0.25">
      <c r="A73" s="47"/>
      <c r="B73" s="57" t="str">
        <f>+$B$25</f>
        <v>Gichelson</v>
      </c>
      <c r="C73" s="124"/>
      <c r="D73" s="59"/>
      <c r="E73" s="72"/>
      <c r="F73" s="72"/>
      <c r="G73" s="72"/>
      <c r="H73" s="75"/>
      <c r="I73" s="86"/>
      <c r="J73" s="87"/>
      <c r="K73" s="59"/>
      <c r="L73" s="72"/>
      <c r="M73" s="72"/>
      <c r="N73" s="72"/>
      <c r="O73" s="75"/>
      <c r="P73" s="76"/>
      <c r="Q73" s="74"/>
      <c r="R73" s="72"/>
      <c r="S73" s="72"/>
      <c r="T73" s="72"/>
      <c r="U73" s="72"/>
      <c r="V73" s="72"/>
      <c r="W73" s="76"/>
      <c r="X73" s="74"/>
      <c r="Y73" s="72"/>
      <c r="Z73" s="72"/>
      <c r="AA73" s="72"/>
      <c r="AB73" s="72"/>
      <c r="AC73" s="72"/>
      <c r="AD73" s="76"/>
      <c r="AE73" s="74"/>
      <c r="AF73" s="72"/>
      <c r="AG73" s="72"/>
      <c r="AH73" s="72"/>
      <c r="AI73" s="72"/>
      <c r="AK73" s="76"/>
      <c r="AL73" s="74"/>
      <c r="AM73" s="77"/>
      <c r="AN73" s="72"/>
      <c r="AO73" s="73"/>
      <c r="AP73" s="72"/>
      <c r="AQ73" s="75"/>
      <c r="AR73" s="74"/>
      <c r="AS73" s="79">
        <f t="shared" si="13"/>
        <v>0</v>
      </c>
      <c r="AT73" s="80">
        <f t="shared" si="13"/>
        <v>0</v>
      </c>
      <c r="AU73" s="80">
        <f t="shared" si="13"/>
        <v>0</v>
      </c>
      <c r="AV73" s="81">
        <f t="shared" si="13"/>
        <v>0</v>
      </c>
      <c r="AW73" s="7">
        <f t="shared" si="13"/>
        <v>0</v>
      </c>
    </row>
    <row r="74" spans="1:49" ht="18" customHeight="1" thickBot="1" x14ac:dyDescent="0.3">
      <c r="A74" s="47"/>
      <c r="B74" s="89"/>
      <c r="C74" s="126"/>
      <c r="D74" s="96"/>
      <c r="E74" s="95"/>
      <c r="F74" s="95"/>
      <c r="G74" s="95"/>
      <c r="H74" s="97"/>
      <c r="I74" s="94"/>
      <c r="J74" s="93"/>
      <c r="K74" s="96"/>
      <c r="L74" s="95"/>
      <c r="M74" s="95"/>
      <c r="N74" s="95"/>
      <c r="O74" s="97"/>
      <c r="P74" s="94"/>
      <c r="Q74" s="93"/>
      <c r="R74" s="98"/>
      <c r="S74" s="95"/>
      <c r="T74" s="95"/>
      <c r="U74" s="95"/>
      <c r="V74" s="97"/>
      <c r="W74" s="94"/>
      <c r="X74" s="93"/>
      <c r="Y74" s="96"/>
      <c r="Z74" s="95"/>
      <c r="AA74" s="92"/>
      <c r="AB74" s="92"/>
      <c r="AC74" s="92"/>
      <c r="AD74" s="94"/>
      <c r="AE74" s="93"/>
      <c r="AF74" s="96"/>
      <c r="AG74" s="95"/>
      <c r="AH74" s="95"/>
      <c r="AI74" s="95"/>
      <c r="AJ74" s="97"/>
      <c r="AK74" s="94"/>
      <c r="AL74" s="93"/>
      <c r="AM74" s="98"/>
      <c r="AN74" s="95"/>
      <c r="AO74" s="95"/>
      <c r="AP74" s="95"/>
      <c r="AQ74" s="97"/>
      <c r="AR74" s="93"/>
      <c r="AS74" s="100">
        <f t="shared" si="13"/>
        <v>0</v>
      </c>
      <c r="AT74" s="101">
        <f t="shared" si="13"/>
        <v>0</v>
      </c>
      <c r="AU74" s="101">
        <f t="shared" si="13"/>
        <v>0</v>
      </c>
      <c r="AV74" s="102">
        <f t="shared" si="13"/>
        <v>0</v>
      </c>
      <c r="AW74" s="7">
        <f t="shared" si="13"/>
        <v>0</v>
      </c>
    </row>
    <row r="75" spans="1:49" ht="18" customHeight="1" x14ac:dyDescent="0.25">
      <c r="A75" s="47"/>
      <c r="B75" s="103"/>
      <c r="C75" s="25"/>
      <c r="D75" s="25"/>
      <c r="E75" s="25"/>
      <c r="F75" s="25"/>
      <c r="G75" s="25"/>
      <c r="H75" s="25"/>
      <c r="I75" s="25"/>
      <c r="J75" s="103"/>
      <c r="K75" s="103"/>
      <c r="L75" s="25"/>
      <c r="M75" s="25"/>
      <c r="N75" s="25"/>
      <c r="O75" s="25"/>
      <c r="P75" s="25"/>
      <c r="Q75" s="25"/>
      <c r="R75" s="25"/>
      <c r="S75" s="103"/>
      <c r="T75" s="103"/>
      <c r="U75" s="25"/>
      <c r="V75" s="25"/>
      <c r="W75" s="25"/>
      <c r="X75" s="25"/>
      <c r="Y75" s="25"/>
      <c r="Z75" s="25"/>
      <c r="AA75" s="25"/>
      <c r="AB75" s="25"/>
    </row>
    <row r="76" spans="1:49" ht="18" customHeight="1" thickBot="1" x14ac:dyDescent="0.3">
      <c r="A76" s="47"/>
      <c r="B76" s="161" t="s">
        <v>43</v>
      </c>
      <c r="C76" s="161"/>
      <c r="D76" s="161"/>
      <c r="E76" s="161"/>
      <c r="F76" s="161"/>
      <c r="G76" s="161"/>
      <c r="H76" s="161"/>
      <c r="I76" s="161"/>
      <c r="J76" s="103"/>
      <c r="K76" s="103">
        <v>8</v>
      </c>
      <c r="L76" s="25"/>
      <c r="M76" s="25"/>
      <c r="N76" s="25"/>
      <c r="O76" s="25"/>
      <c r="P76" s="25"/>
      <c r="Q76" s="25"/>
      <c r="R76" s="25"/>
      <c r="S76" s="103"/>
      <c r="T76" s="103"/>
      <c r="U76" s="25"/>
      <c r="V76" s="25"/>
      <c r="W76" s="25"/>
      <c r="X76" s="25"/>
      <c r="Y76" s="25"/>
      <c r="Z76" s="25"/>
      <c r="AA76" s="25"/>
      <c r="AB76" s="104"/>
    </row>
    <row r="77" spans="1:49" ht="18" customHeight="1" thickBot="1" x14ac:dyDescent="0.3">
      <c r="A77" s="47"/>
      <c r="B77" s="36" t="s">
        <v>23</v>
      </c>
      <c r="C77" s="121" t="s">
        <v>24</v>
      </c>
      <c r="D77" s="38" t="s">
        <v>25</v>
      </c>
      <c r="E77" s="39" t="s">
        <v>26</v>
      </c>
      <c r="F77" s="39" t="s">
        <v>27</v>
      </c>
      <c r="G77" s="39" t="s">
        <v>28</v>
      </c>
      <c r="H77" s="39" t="s">
        <v>29</v>
      </c>
      <c r="I77" s="40" t="s">
        <v>30</v>
      </c>
      <c r="J77" s="41" t="s">
        <v>24</v>
      </c>
      <c r="K77" s="38" t="s">
        <v>25</v>
      </c>
      <c r="L77" s="39" t="s">
        <v>26</v>
      </c>
      <c r="M77" s="39" t="s">
        <v>27</v>
      </c>
      <c r="N77" s="39" t="s">
        <v>28</v>
      </c>
      <c r="O77" s="39" t="s">
        <v>29</v>
      </c>
      <c r="P77" s="40" t="s">
        <v>30</v>
      </c>
      <c r="Q77" s="41" t="s">
        <v>24</v>
      </c>
      <c r="R77" s="42" t="s">
        <v>25</v>
      </c>
      <c r="S77" s="39" t="s">
        <v>26</v>
      </c>
      <c r="T77" s="39" t="s">
        <v>27</v>
      </c>
      <c r="U77" s="39" t="s">
        <v>28</v>
      </c>
      <c r="V77" s="39" t="s">
        <v>29</v>
      </c>
      <c r="W77" s="40" t="s">
        <v>30</v>
      </c>
      <c r="X77" s="41" t="s">
        <v>24</v>
      </c>
      <c r="Y77" s="42" t="s">
        <v>25</v>
      </c>
      <c r="Z77" s="39" t="s">
        <v>26</v>
      </c>
      <c r="AA77" s="39" t="s">
        <v>27</v>
      </c>
      <c r="AB77" s="39" t="s">
        <v>28</v>
      </c>
      <c r="AC77" s="39" t="s">
        <v>29</v>
      </c>
      <c r="AD77" s="40" t="s">
        <v>30</v>
      </c>
      <c r="AE77" s="106" t="s">
        <v>24</v>
      </c>
      <c r="AF77" s="38" t="s">
        <v>25</v>
      </c>
      <c r="AG77" s="39" t="s">
        <v>26</v>
      </c>
      <c r="AH77" s="39" t="s">
        <v>27</v>
      </c>
      <c r="AI77" s="39" t="s">
        <v>28</v>
      </c>
      <c r="AJ77" s="39" t="s">
        <v>29</v>
      </c>
      <c r="AK77" s="40" t="s">
        <v>30</v>
      </c>
      <c r="AL77" s="41" t="s">
        <v>24</v>
      </c>
      <c r="AM77" s="42" t="s">
        <v>25</v>
      </c>
      <c r="AN77" s="39" t="s">
        <v>26</v>
      </c>
      <c r="AO77" s="39" t="s">
        <v>27</v>
      </c>
      <c r="AP77" s="39" t="s">
        <v>28</v>
      </c>
      <c r="AQ77" s="39" t="s">
        <v>29</v>
      </c>
      <c r="AR77" s="41" t="s">
        <v>30</v>
      </c>
      <c r="AS77" s="45" t="str">
        <f>+AS69</f>
        <v>F25</v>
      </c>
      <c r="AT77" s="45" t="str">
        <f>+AT69</f>
        <v>F24</v>
      </c>
      <c r="AU77" s="45" t="str">
        <f>+AU69</f>
        <v>DFT</v>
      </c>
      <c r="AV77" s="46" t="s">
        <v>34</v>
      </c>
      <c r="AW77" s="7" t="s">
        <v>35</v>
      </c>
    </row>
    <row r="78" spans="1:49" ht="18" customHeight="1" thickBot="1" x14ac:dyDescent="0.3">
      <c r="A78" s="47"/>
      <c r="B78" s="48"/>
      <c r="C78" s="122">
        <f>IF($L$5=1,1,0)</f>
        <v>0</v>
      </c>
      <c r="D78" s="50">
        <f>IF($M$5=1,1, IF(C78&gt;0,C78+1, 0))</f>
        <v>0</v>
      </c>
      <c r="E78" s="51">
        <f>IF($N$5=1,1, IF(D78&gt;0,D78+1, 0))</f>
        <v>0</v>
      </c>
      <c r="F78" s="51">
        <f>IF($O$5=1,1, IF(E78&gt;0,E78+1, 0))</f>
        <v>0</v>
      </c>
      <c r="G78" s="51">
        <f>IF($P$5=1,1, IF(F78&gt;0,F78+1, 0))</f>
        <v>0</v>
      </c>
      <c r="H78" s="52">
        <f>IF($Q$5=1,1, IF(G78&gt;0,G78+1, 0))</f>
        <v>1</v>
      </c>
      <c r="I78" s="53">
        <f>IF($R$5=1,1, IF(H78&gt;0,H78+1, 0))</f>
        <v>2</v>
      </c>
      <c r="J78" s="54">
        <f t="shared" ref="J78:AR78" si="14">IF(AND(I78&gt;0,I78&lt;31),I78+1,0)</f>
        <v>3</v>
      </c>
      <c r="K78" s="50">
        <f t="shared" si="14"/>
        <v>4</v>
      </c>
      <c r="L78" s="51">
        <f t="shared" si="14"/>
        <v>5</v>
      </c>
      <c r="M78" s="51">
        <f t="shared" si="14"/>
        <v>6</v>
      </c>
      <c r="N78" s="51">
        <f t="shared" si="14"/>
        <v>7</v>
      </c>
      <c r="O78" s="52">
        <f t="shared" si="14"/>
        <v>8</v>
      </c>
      <c r="P78" s="53">
        <f t="shared" si="14"/>
        <v>9</v>
      </c>
      <c r="Q78" s="54">
        <f t="shared" si="14"/>
        <v>10</v>
      </c>
      <c r="R78" s="55">
        <f t="shared" si="14"/>
        <v>11</v>
      </c>
      <c r="S78" s="51">
        <f t="shared" si="14"/>
        <v>12</v>
      </c>
      <c r="T78" s="51">
        <f t="shared" si="14"/>
        <v>13</v>
      </c>
      <c r="U78" s="51">
        <f t="shared" si="14"/>
        <v>14</v>
      </c>
      <c r="V78" s="52">
        <f t="shared" si="14"/>
        <v>15</v>
      </c>
      <c r="W78" s="53">
        <f t="shared" si="14"/>
        <v>16</v>
      </c>
      <c r="X78" s="54">
        <f t="shared" si="14"/>
        <v>17</v>
      </c>
      <c r="Y78" s="55">
        <f>IF(AND(X78&gt;0,X78&lt;31),X78+1,0)</f>
        <v>18</v>
      </c>
      <c r="Z78" s="51">
        <f t="shared" si="14"/>
        <v>19</v>
      </c>
      <c r="AA78" s="51">
        <f t="shared" si="14"/>
        <v>20</v>
      </c>
      <c r="AB78" s="51">
        <f t="shared" si="14"/>
        <v>21</v>
      </c>
      <c r="AC78" s="52">
        <f t="shared" si="14"/>
        <v>22</v>
      </c>
      <c r="AD78" s="53">
        <f t="shared" si="14"/>
        <v>23</v>
      </c>
      <c r="AE78" s="107">
        <f t="shared" si="14"/>
        <v>24</v>
      </c>
      <c r="AF78" s="50">
        <f t="shared" si="14"/>
        <v>25</v>
      </c>
      <c r="AG78" s="51">
        <f t="shared" si="14"/>
        <v>26</v>
      </c>
      <c r="AH78" s="51">
        <f t="shared" si="14"/>
        <v>27</v>
      </c>
      <c r="AI78" s="51">
        <f t="shared" si="14"/>
        <v>28</v>
      </c>
      <c r="AJ78" s="52">
        <f t="shared" si="14"/>
        <v>29</v>
      </c>
      <c r="AK78" s="53">
        <f t="shared" si="14"/>
        <v>30</v>
      </c>
      <c r="AL78" s="56">
        <f t="shared" si="14"/>
        <v>31</v>
      </c>
      <c r="AM78" s="55">
        <f t="shared" si="14"/>
        <v>0</v>
      </c>
      <c r="AN78" s="51">
        <f t="shared" si="14"/>
        <v>0</v>
      </c>
      <c r="AO78" s="51">
        <f t="shared" si="14"/>
        <v>0</v>
      </c>
      <c r="AP78" s="51">
        <f t="shared" si="14"/>
        <v>0</v>
      </c>
      <c r="AQ78" s="52">
        <f t="shared" si="14"/>
        <v>0</v>
      </c>
      <c r="AR78" s="56">
        <f t="shared" si="14"/>
        <v>0</v>
      </c>
    </row>
    <row r="79" spans="1:49" ht="18" customHeight="1" x14ac:dyDescent="0.25">
      <c r="A79" s="47"/>
      <c r="B79" s="109" t="str">
        <f>+$B$23</f>
        <v xml:space="preserve">Pedro </v>
      </c>
      <c r="C79" s="123"/>
      <c r="D79" s="63"/>
      <c r="E79" s="72"/>
      <c r="F79" s="72"/>
      <c r="G79" s="72"/>
      <c r="H79" s="61" t="s">
        <v>32</v>
      </c>
      <c r="I79" s="76"/>
      <c r="J79" s="74"/>
      <c r="K79" s="61" t="s">
        <v>32</v>
      </c>
      <c r="L79" s="61" t="s">
        <v>32</v>
      </c>
      <c r="M79" s="61" t="s">
        <v>32</v>
      </c>
      <c r="N79" s="61" t="s">
        <v>32</v>
      </c>
      <c r="O79" s="61" t="s">
        <v>32</v>
      </c>
      <c r="P79" s="65"/>
      <c r="Q79" s="74"/>
      <c r="R79" s="61" t="s">
        <v>32</v>
      </c>
      <c r="S79" s="72"/>
      <c r="T79" s="72"/>
      <c r="U79" s="72"/>
      <c r="V79" s="72"/>
      <c r="W79" s="76"/>
      <c r="X79" s="74"/>
      <c r="Y79" s="61" t="s">
        <v>32</v>
      </c>
      <c r="Z79" s="61" t="s">
        <v>32</v>
      </c>
      <c r="AA79" s="61" t="s">
        <v>32</v>
      </c>
      <c r="AB79" s="61" t="s">
        <v>32</v>
      </c>
      <c r="AC79" s="61" t="s">
        <v>32</v>
      </c>
      <c r="AD79" s="76"/>
      <c r="AE79" s="74"/>
      <c r="AF79" s="61" t="s">
        <v>32</v>
      </c>
      <c r="AG79" s="61" t="s">
        <v>32</v>
      </c>
      <c r="AH79" s="61" t="s">
        <v>32</v>
      </c>
      <c r="AI79" s="61" t="s">
        <v>32</v>
      </c>
      <c r="AJ79" s="61" t="s">
        <v>32</v>
      </c>
      <c r="AK79" s="76"/>
      <c r="AL79" s="74"/>
      <c r="AM79" s="77"/>
      <c r="AN79" s="72"/>
      <c r="AO79" s="72"/>
      <c r="AP79" s="72"/>
      <c r="AQ79" s="64"/>
      <c r="AR79" s="62"/>
      <c r="AS79" s="68">
        <f t="shared" ref="AS79:AW82" si="15">COUNTIF($C79:$AR79,AS$21)</f>
        <v>17</v>
      </c>
      <c r="AT79" s="69">
        <f t="shared" si="15"/>
        <v>0</v>
      </c>
      <c r="AU79" s="69">
        <f t="shared" si="15"/>
        <v>0</v>
      </c>
      <c r="AV79" s="70">
        <f t="shared" si="15"/>
        <v>0</v>
      </c>
      <c r="AW79" s="7">
        <f>COUNTIF($C79:$AR79,AW$21)</f>
        <v>0</v>
      </c>
    </row>
    <row r="80" spans="1:49" ht="18" customHeight="1" x14ac:dyDescent="0.25">
      <c r="A80" s="47"/>
      <c r="B80" s="57" t="str">
        <f>+$B$24</f>
        <v>Miguel</v>
      </c>
      <c r="C80" s="124"/>
      <c r="D80" s="59"/>
      <c r="E80" s="72"/>
      <c r="F80" s="72"/>
      <c r="G80" s="72"/>
      <c r="H80" s="72"/>
      <c r="I80" s="76"/>
      <c r="J80" s="74"/>
      <c r="K80" s="59"/>
      <c r="L80" s="72"/>
      <c r="M80" s="72"/>
      <c r="N80" s="72"/>
      <c r="O80" s="72"/>
      <c r="P80" s="65"/>
      <c r="Q80" s="74"/>
      <c r="R80" s="72"/>
      <c r="S80" s="72"/>
      <c r="T80" s="61" t="s">
        <v>32</v>
      </c>
      <c r="U80" s="61" t="s">
        <v>32</v>
      </c>
      <c r="V80" s="72"/>
      <c r="W80" s="76"/>
      <c r="X80" s="74"/>
      <c r="Y80" s="72"/>
      <c r="Z80" s="72"/>
      <c r="AA80" s="72"/>
      <c r="AB80" s="72"/>
      <c r="AC80" s="72"/>
      <c r="AD80" s="72"/>
      <c r="AE80" s="74"/>
      <c r="AF80" s="59"/>
      <c r="AG80" s="78"/>
      <c r="AH80" s="72"/>
      <c r="AI80" s="72"/>
      <c r="AJ80" s="72"/>
      <c r="AK80" s="76"/>
      <c r="AL80" s="74"/>
      <c r="AM80" s="77"/>
      <c r="AN80" s="72"/>
      <c r="AO80" s="72"/>
      <c r="AP80" s="72"/>
      <c r="AQ80" s="75"/>
      <c r="AR80" s="74"/>
      <c r="AS80" s="79">
        <f t="shared" si="15"/>
        <v>2</v>
      </c>
      <c r="AT80" s="80">
        <f t="shared" si="15"/>
        <v>0</v>
      </c>
      <c r="AU80" s="80">
        <f t="shared" si="15"/>
        <v>0</v>
      </c>
      <c r="AV80" s="81">
        <f t="shared" si="15"/>
        <v>0</v>
      </c>
      <c r="AW80" s="7">
        <f>COUNTIF($C80:$AR80,AW$21)</f>
        <v>0</v>
      </c>
    </row>
    <row r="81" spans="1:49" ht="18" customHeight="1" x14ac:dyDescent="0.25">
      <c r="A81" s="47"/>
      <c r="B81" s="57" t="str">
        <f>+$B$25</f>
        <v>Gichelson</v>
      </c>
      <c r="C81" s="124"/>
      <c r="D81" s="59"/>
      <c r="E81" s="72"/>
      <c r="F81" s="72"/>
      <c r="G81" s="72"/>
      <c r="H81" s="72"/>
      <c r="I81" s="76"/>
      <c r="J81" s="74"/>
      <c r="K81" s="59"/>
      <c r="L81" s="72"/>
      <c r="M81" s="72"/>
      <c r="N81" s="72"/>
      <c r="O81" s="72"/>
      <c r="P81" s="65"/>
      <c r="Q81" s="74"/>
      <c r="R81" s="72"/>
      <c r="S81" s="72"/>
      <c r="T81" s="72"/>
      <c r="U81" s="76"/>
      <c r="V81" s="72"/>
      <c r="W81" s="76"/>
      <c r="X81" s="74"/>
      <c r="Y81" s="72"/>
      <c r="Z81" s="72"/>
      <c r="AA81" s="72"/>
      <c r="AB81" s="72"/>
      <c r="AC81" s="72"/>
      <c r="AD81" s="72"/>
      <c r="AE81" s="74"/>
      <c r="AF81" s="59"/>
      <c r="AG81" s="78"/>
      <c r="AH81" s="72"/>
      <c r="AI81" s="72"/>
      <c r="AJ81" s="75"/>
      <c r="AK81" s="76"/>
      <c r="AL81" s="74"/>
      <c r="AM81" s="77"/>
      <c r="AN81" s="72"/>
      <c r="AO81" s="72"/>
      <c r="AP81" s="72"/>
      <c r="AQ81" s="75"/>
      <c r="AR81" s="74"/>
      <c r="AS81" s="79">
        <f t="shared" si="15"/>
        <v>0</v>
      </c>
      <c r="AT81" s="80">
        <f t="shared" si="15"/>
        <v>0</v>
      </c>
      <c r="AU81" s="80">
        <f t="shared" si="15"/>
        <v>0</v>
      </c>
      <c r="AV81" s="81">
        <f t="shared" si="15"/>
        <v>0</v>
      </c>
      <c r="AW81" s="7">
        <f t="shared" si="15"/>
        <v>0</v>
      </c>
    </row>
    <row r="82" spans="1:49" ht="18" customHeight="1" thickBot="1" x14ac:dyDescent="0.3">
      <c r="A82" s="47"/>
      <c r="B82" s="89"/>
      <c r="C82" s="126"/>
      <c r="D82" s="96"/>
      <c r="E82" s="95"/>
      <c r="F82" s="92"/>
      <c r="G82" s="92"/>
      <c r="H82" s="92"/>
      <c r="I82" s="94"/>
      <c r="J82" s="93"/>
      <c r="K82" s="91"/>
      <c r="L82" s="92"/>
      <c r="M82" s="92"/>
      <c r="N82" s="92"/>
      <c r="O82" s="92"/>
      <c r="P82" s="94"/>
      <c r="Q82" s="93"/>
      <c r="R82" s="91"/>
      <c r="S82" s="92"/>
      <c r="T82" s="92"/>
      <c r="U82" s="92"/>
      <c r="V82" s="92"/>
      <c r="W82" s="94"/>
      <c r="X82" s="93"/>
      <c r="Y82" s="91"/>
      <c r="Z82" s="92"/>
      <c r="AA82" s="92"/>
      <c r="AB82" s="92"/>
      <c r="AC82" s="92"/>
      <c r="AD82" s="92"/>
      <c r="AE82" s="93"/>
      <c r="AF82" s="91"/>
      <c r="AG82" s="92"/>
      <c r="AH82" s="94"/>
      <c r="AI82" s="94"/>
      <c r="AJ82" s="94"/>
      <c r="AK82" s="94"/>
      <c r="AL82" s="93"/>
      <c r="AM82" s="98"/>
      <c r="AN82" s="95"/>
      <c r="AO82" s="95"/>
      <c r="AP82" s="95"/>
      <c r="AQ82" s="97"/>
      <c r="AR82" s="93"/>
      <c r="AS82" s="100">
        <f t="shared" si="15"/>
        <v>0</v>
      </c>
      <c r="AT82" s="101">
        <f t="shared" si="15"/>
        <v>0</v>
      </c>
      <c r="AU82" s="101">
        <f t="shared" si="15"/>
        <v>0</v>
      </c>
      <c r="AV82" s="102">
        <f t="shared" si="15"/>
        <v>0</v>
      </c>
      <c r="AW82" s="7">
        <f t="shared" si="15"/>
        <v>0</v>
      </c>
    </row>
    <row r="83" spans="1:49" ht="18" customHeight="1" x14ac:dyDescent="0.25">
      <c r="A83" s="47"/>
      <c r="B83" s="103"/>
      <c r="C83" s="25"/>
      <c r="D83" s="25"/>
      <c r="E83" s="25"/>
      <c r="F83" s="25"/>
      <c r="G83" s="25"/>
      <c r="H83" s="25"/>
      <c r="I83" s="25"/>
      <c r="J83" s="103"/>
      <c r="K83" s="103"/>
      <c r="L83" s="25"/>
      <c r="M83" s="25"/>
      <c r="N83" s="25"/>
      <c r="O83" s="25"/>
      <c r="P83" s="25"/>
      <c r="Q83" s="25"/>
      <c r="R83" s="25"/>
      <c r="S83" s="103"/>
      <c r="T83" s="103"/>
      <c r="U83" s="25"/>
      <c r="V83" s="25"/>
      <c r="W83" s="25"/>
      <c r="X83" s="25"/>
      <c r="Y83" s="25"/>
      <c r="Z83" s="25"/>
      <c r="AA83" s="25"/>
      <c r="AB83" s="25"/>
    </row>
    <row r="84" spans="1:49" ht="18" customHeight="1" thickBot="1" x14ac:dyDescent="0.3">
      <c r="A84" s="47"/>
      <c r="B84" s="161" t="s">
        <v>44</v>
      </c>
      <c r="C84" s="161"/>
      <c r="D84" s="161"/>
      <c r="E84" s="161"/>
      <c r="F84" s="161"/>
      <c r="G84" s="161"/>
      <c r="H84" s="161"/>
      <c r="I84" s="161"/>
      <c r="J84" s="103"/>
      <c r="K84" s="103">
        <v>9</v>
      </c>
      <c r="L84" s="25"/>
      <c r="M84" s="25"/>
      <c r="N84" s="25"/>
      <c r="O84" s="25"/>
      <c r="P84" s="25"/>
      <c r="Q84" s="25"/>
      <c r="R84" s="25"/>
      <c r="S84" s="103"/>
      <c r="T84" s="103"/>
      <c r="U84" s="25"/>
      <c r="V84" s="25"/>
      <c r="W84" s="25"/>
      <c r="X84" s="25"/>
      <c r="Y84" s="25"/>
      <c r="Z84" s="25"/>
      <c r="AA84" s="25"/>
      <c r="AB84" s="104"/>
    </row>
    <row r="85" spans="1:49" ht="18" customHeight="1" thickBot="1" x14ac:dyDescent="0.3">
      <c r="A85" s="47"/>
      <c r="B85" s="36" t="s">
        <v>23</v>
      </c>
      <c r="C85" s="121" t="s">
        <v>24</v>
      </c>
      <c r="D85" s="38" t="s">
        <v>25</v>
      </c>
      <c r="E85" s="39" t="s">
        <v>26</v>
      </c>
      <c r="F85" s="39" t="s">
        <v>27</v>
      </c>
      <c r="G85" s="39" t="s">
        <v>28</v>
      </c>
      <c r="H85" s="39" t="s">
        <v>29</v>
      </c>
      <c r="I85" s="40" t="s">
        <v>30</v>
      </c>
      <c r="J85" s="41" t="s">
        <v>24</v>
      </c>
      <c r="K85" s="42" t="s">
        <v>25</v>
      </c>
      <c r="L85" s="39" t="s">
        <v>26</v>
      </c>
      <c r="M85" s="39" t="s">
        <v>27</v>
      </c>
      <c r="N85" s="39" t="s">
        <v>28</v>
      </c>
      <c r="O85" s="39" t="s">
        <v>29</v>
      </c>
      <c r="P85" s="40" t="s">
        <v>30</v>
      </c>
      <c r="Q85" s="106" t="s">
        <v>24</v>
      </c>
      <c r="R85" s="38" t="s">
        <v>25</v>
      </c>
      <c r="S85" s="39" t="s">
        <v>26</v>
      </c>
      <c r="T85" s="39" t="s">
        <v>27</v>
      </c>
      <c r="U85" s="39" t="s">
        <v>28</v>
      </c>
      <c r="V85" s="39" t="s">
        <v>29</v>
      </c>
      <c r="W85" s="40" t="s">
        <v>30</v>
      </c>
      <c r="X85" s="41" t="s">
        <v>24</v>
      </c>
      <c r="Y85" s="42" t="s">
        <v>25</v>
      </c>
      <c r="Z85" s="39" t="s">
        <v>26</v>
      </c>
      <c r="AA85" s="39" t="s">
        <v>27</v>
      </c>
      <c r="AB85" s="39" t="s">
        <v>28</v>
      </c>
      <c r="AC85" s="39" t="s">
        <v>29</v>
      </c>
      <c r="AD85" s="40" t="s">
        <v>30</v>
      </c>
      <c r="AE85" s="106" t="s">
        <v>24</v>
      </c>
      <c r="AF85" s="38" t="s">
        <v>25</v>
      </c>
      <c r="AG85" s="39" t="s">
        <v>26</v>
      </c>
      <c r="AH85" s="39" t="s">
        <v>27</v>
      </c>
      <c r="AI85" s="39" t="s">
        <v>28</v>
      </c>
      <c r="AJ85" s="39" t="s">
        <v>29</v>
      </c>
      <c r="AK85" s="40" t="s">
        <v>30</v>
      </c>
      <c r="AL85" s="41" t="s">
        <v>24</v>
      </c>
      <c r="AM85" s="42" t="s">
        <v>25</v>
      </c>
      <c r="AN85" s="39" t="s">
        <v>26</v>
      </c>
      <c r="AO85" s="39" t="s">
        <v>27</v>
      </c>
      <c r="AP85" s="39" t="s">
        <v>28</v>
      </c>
      <c r="AQ85" s="39" t="s">
        <v>29</v>
      </c>
      <c r="AR85" s="41" t="s">
        <v>30</v>
      </c>
      <c r="AS85" s="45" t="str">
        <f>+AS77</f>
        <v>F25</v>
      </c>
      <c r="AT85" s="45" t="str">
        <f>+AT77</f>
        <v>F24</v>
      </c>
      <c r="AU85" s="45" t="str">
        <f>+AU77</f>
        <v>DFT</v>
      </c>
      <c r="AV85" s="46" t="s">
        <v>34</v>
      </c>
      <c r="AW85" s="7" t="s">
        <v>35</v>
      </c>
    </row>
    <row r="86" spans="1:49" ht="18" customHeight="1" thickBot="1" x14ac:dyDescent="0.3">
      <c r="A86" s="47"/>
      <c r="B86" s="48"/>
      <c r="C86" s="122">
        <f>IF($U$5=1,1,0)</f>
        <v>0</v>
      </c>
      <c r="D86" s="50">
        <f>IF($V$5=1,1, IF(C86&gt;0,C86+1, 0))</f>
        <v>1</v>
      </c>
      <c r="E86" s="51">
        <f>IF($W$5=1,1, IF(D86&gt;0,D86+1, 0))</f>
        <v>2</v>
      </c>
      <c r="F86" s="51">
        <f>IF($X$5=1,1, IF(E86&gt;0,E86+1, 0))</f>
        <v>3</v>
      </c>
      <c r="G86" s="51">
        <f>IF($Y$5=1,1, IF(F86&gt;0,F86+1, 0))</f>
        <v>4</v>
      </c>
      <c r="H86" s="52">
        <f>IF($Z$5=1,1, IF(G86&gt;0,G86+1, 0))</f>
        <v>5</v>
      </c>
      <c r="I86" s="53">
        <f>IF($AA$5=1,1, IF(H86&gt;0,H86+1, 0))</f>
        <v>6</v>
      </c>
      <c r="J86" s="54">
        <f t="shared" ref="J86:AR86" si="16">IF(AND(I86&gt;0,I86&lt;30),I86+1,0)</f>
        <v>7</v>
      </c>
      <c r="K86" s="55">
        <f t="shared" si="16"/>
        <v>8</v>
      </c>
      <c r="L86" s="51">
        <f t="shared" si="16"/>
        <v>9</v>
      </c>
      <c r="M86" s="51">
        <f t="shared" si="16"/>
        <v>10</v>
      </c>
      <c r="N86" s="51">
        <f t="shared" si="16"/>
        <v>11</v>
      </c>
      <c r="O86" s="52">
        <f t="shared" si="16"/>
        <v>12</v>
      </c>
      <c r="P86" s="53">
        <f t="shared" si="16"/>
        <v>13</v>
      </c>
      <c r="Q86" s="107">
        <f t="shared" si="16"/>
        <v>14</v>
      </c>
      <c r="R86" s="50">
        <f t="shared" si="16"/>
        <v>15</v>
      </c>
      <c r="S86" s="51">
        <f t="shared" si="16"/>
        <v>16</v>
      </c>
      <c r="T86" s="51">
        <f t="shared" si="16"/>
        <v>17</v>
      </c>
      <c r="U86" s="51">
        <f t="shared" si="16"/>
        <v>18</v>
      </c>
      <c r="V86" s="52">
        <f t="shared" si="16"/>
        <v>19</v>
      </c>
      <c r="W86" s="53">
        <f t="shared" si="16"/>
        <v>20</v>
      </c>
      <c r="X86" s="54">
        <f t="shared" si="16"/>
        <v>21</v>
      </c>
      <c r="Y86" s="55">
        <f>IF(AND(X86&gt;0,X86&lt;30),X86+1,0)</f>
        <v>22</v>
      </c>
      <c r="Z86" s="51">
        <f t="shared" si="16"/>
        <v>23</v>
      </c>
      <c r="AA86" s="51">
        <f t="shared" si="16"/>
        <v>24</v>
      </c>
      <c r="AB86" s="51">
        <f t="shared" si="16"/>
        <v>25</v>
      </c>
      <c r="AC86" s="52">
        <f t="shared" si="16"/>
        <v>26</v>
      </c>
      <c r="AD86" s="53">
        <f t="shared" si="16"/>
        <v>27</v>
      </c>
      <c r="AE86" s="107">
        <f t="shared" si="16"/>
        <v>28</v>
      </c>
      <c r="AF86" s="50">
        <f t="shared" si="16"/>
        <v>29</v>
      </c>
      <c r="AG86" s="51">
        <f t="shared" si="16"/>
        <v>30</v>
      </c>
      <c r="AH86" s="51">
        <f t="shared" si="16"/>
        <v>0</v>
      </c>
      <c r="AI86" s="51">
        <f t="shared" si="16"/>
        <v>0</v>
      </c>
      <c r="AJ86" s="52">
        <f t="shared" si="16"/>
        <v>0</v>
      </c>
      <c r="AK86" s="53">
        <f t="shared" si="16"/>
        <v>0</v>
      </c>
      <c r="AL86" s="56">
        <f t="shared" si="16"/>
        <v>0</v>
      </c>
      <c r="AM86" s="55">
        <f t="shared" si="16"/>
        <v>0</v>
      </c>
      <c r="AN86" s="51">
        <f t="shared" si="16"/>
        <v>0</v>
      </c>
      <c r="AO86" s="51">
        <f t="shared" si="16"/>
        <v>0</v>
      </c>
      <c r="AP86" s="51">
        <f t="shared" si="16"/>
        <v>0</v>
      </c>
      <c r="AQ86" s="52">
        <f t="shared" si="16"/>
        <v>0</v>
      </c>
      <c r="AR86" s="56">
        <f t="shared" si="16"/>
        <v>0</v>
      </c>
    </row>
    <row r="87" spans="1:49" ht="18" customHeight="1" x14ac:dyDescent="0.25">
      <c r="A87" s="47"/>
      <c r="B87" s="109" t="str">
        <f>+$B$23</f>
        <v xml:space="preserve">Pedro </v>
      </c>
      <c r="C87" s="123"/>
      <c r="D87" s="61" t="s">
        <v>32</v>
      </c>
      <c r="E87" s="61" t="s">
        <v>32</v>
      </c>
      <c r="F87" s="61" t="s">
        <v>32</v>
      </c>
      <c r="G87" s="61" t="s">
        <v>32</v>
      </c>
      <c r="H87" s="61" t="s">
        <v>32</v>
      </c>
      <c r="I87" s="65"/>
      <c r="J87" s="62"/>
      <c r="K87" s="66"/>
      <c r="L87" s="60"/>
      <c r="M87" s="60"/>
      <c r="N87" s="60"/>
      <c r="O87" s="64"/>
      <c r="P87" s="65"/>
      <c r="Q87" s="67"/>
      <c r="R87" s="63"/>
      <c r="S87" s="60"/>
      <c r="T87" s="60"/>
      <c r="U87" s="60"/>
      <c r="V87" s="64"/>
      <c r="W87" s="65"/>
      <c r="X87" s="62"/>
      <c r="Y87" s="66"/>
      <c r="Z87" s="60"/>
      <c r="AA87" s="60"/>
      <c r="AB87" s="60"/>
      <c r="AC87" s="64"/>
      <c r="AD87" s="65"/>
      <c r="AE87" s="67"/>
      <c r="AF87" s="63"/>
      <c r="AG87" s="60"/>
      <c r="AH87" s="60"/>
      <c r="AI87" s="60"/>
      <c r="AJ87" s="64"/>
      <c r="AK87" s="65"/>
      <c r="AL87" s="62"/>
      <c r="AM87" s="66"/>
      <c r="AN87" s="60"/>
      <c r="AO87" s="60"/>
      <c r="AP87" s="60"/>
      <c r="AQ87" s="64"/>
      <c r="AR87" s="62"/>
      <c r="AS87" s="68">
        <f>COUNTIF($C87:$AR87,AS$21)</f>
        <v>5</v>
      </c>
      <c r="AT87" s="69">
        <f>COUNTIF($C87:$AR87,AT$21)</f>
        <v>0</v>
      </c>
      <c r="AU87" s="69">
        <f>COUNTIF($C87:$AR87,AU$21)</f>
        <v>0</v>
      </c>
      <c r="AV87" s="70">
        <f>COUNTIF($C87:$AR87,AV$21)</f>
        <v>0</v>
      </c>
      <c r="AW87" s="7">
        <f>COUNTIF($C87:$AR87,AW$21)</f>
        <v>0</v>
      </c>
    </row>
    <row r="88" spans="1:49" ht="18" customHeight="1" x14ac:dyDescent="0.25">
      <c r="A88" s="47"/>
      <c r="B88" s="57" t="str">
        <f>+$B$24</f>
        <v>Miguel</v>
      </c>
      <c r="C88" s="124"/>
      <c r="D88" s="59"/>
      <c r="E88" s="73"/>
      <c r="F88" s="73"/>
      <c r="G88" s="73"/>
      <c r="I88" s="86"/>
      <c r="J88" s="87"/>
      <c r="K88" s="88"/>
      <c r="L88" s="73"/>
      <c r="M88" s="73"/>
      <c r="N88" s="73"/>
      <c r="O88" s="88"/>
      <c r="P88" s="86"/>
      <c r="Q88" s="113"/>
      <c r="R88" s="61" t="s">
        <v>32</v>
      </c>
      <c r="S88" s="61" t="s">
        <v>32</v>
      </c>
      <c r="T88" s="61" t="s">
        <v>32</v>
      </c>
      <c r="U88" s="61" t="s">
        <v>32</v>
      </c>
      <c r="V88" s="61" t="s">
        <v>32</v>
      </c>
      <c r="W88" s="86"/>
      <c r="X88" s="87"/>
      <c r="Y88" s="88"/>
      <c r="Z88" s="73"/>
      <c r="AA88" s="73"/>
      <c r="AB88" s="73"/>
      <c r="AC88" s="85"/>
      <c r="AD88" s="86"/>
      <c r="AE88" s="113"/>
      <c r="AF88" s="114"/>
      <c r="AG88" s="73"/>
      <c r="AH88" s="73"/>
      <c r="AI88" s="72"/>
      <c r="AJ88" s="72"/>
      <c r="AK88" s="76"/>
      <c r="AL88" s="74"/>
      <c r="AM88" s="77"/>
      <c r="AN88" s="72"/>
      <c r="AO88" s="72"/>
      <c r="AP88" s="72"/>
      <c r="AQ88" s="75"/>
      <c r="AR88" s="74"/>
      <c r="AS88" s="79">
        <f t="shared" ref="AS88:AW90" si="17">COUNTIF($C88:$AR88,AS$21)</f>
        <v>5</v>
      </c>
      <c r="AT88" s="80">
        <f t="shared" si="17"/>
        <v>0</v>
      </c>
      <c r="AU88" s="80">
        <f t="shared" si="17"/>
        <v>0</v>
      </c>
      <c r="AV88" s="81">
        <f t="shared" si="17"/>
        <v>0</v>
      </c>
      <c r="AW88" s="7">
        <f>COUNTIF($C88:$AR88,AW$21)</f>
        <v>0</v>
      </c>
    </row>
    <row r="89" spans="1:49" ht="18" customHeight="1" x14ac:dyDescent="0.25">
      <c r="A89" s="47"/>
      <c r="B89" s="57" t="str">
        <f>+$B$25</f>
        <v>Gichelson</v>
      </c>
      <c r="C89" s="71"/>
      <c r="D89" s="114"/>
      <c r="E89" s="73"/>
      <c r="F89" s="73"/>
      <c r="G89" s="73"/>
      <c r="H89" s="85"/>
      <c r="I89" s="86"/>
      <c r="J89" s="87"/>
      <c r="K89" s="88"/>
      <c r="L89" s="73"/>
      <c r="M89" s="73"/>
      <c r="N89" s="73"/>
      <c r="O89" s="88"/>
      <c r="P89" s="86"/>
      <c r="Q89" s="113"/>
      <c r="R89" s="114"/>
      <c r="S89" s="73"/>
      <c r="T89" s="73"/>
      <c r="U89" s="73"/>
      <c r="V89" s="73"/>
      <c r="W89" s="86"/>
      <c r="X89" s="87"/>
      <c r="Y89" s="88"/>
      <c r="Z89" s="73"/>
      <c r="AA89" s="73"/>
      <c r="AB89" s="73"/>
      <c r="AC89" s="85"/>
      <c r="AD89" s="86"/>
      <c r="AE89" s="113"/>
      <c r="AF89" s="114"/>
      <c r="AG89" s="73"/>
      <c r="AH89" s="73"/>
      <c r="AI89" s="72"/>
      <c r="AJ89" s="72"/>
      <c r="AK89" s="76"/>
      <c r="AL89" s="74"/>
      <c r="AM89" s="114"/>
      <c r="AN89" s="73"/>
      <c r="AO89" s="72"/>
      <c r="AP89" s="72"/>
      <c r="AQ89" s="75"/>
      <c r="AR89" s="74"/>
      <c r="AS89" s="79">
        <f t="shared" si="17"/>
        <v>0</v>
      </c>
      <c r="AT89" s="80">
        <f t="shared" si="17"/>
        <v>0</v>
      </c>
      <c r="AU89" s="80">
        <f t="shared" si="17"/>
        <v>0</v>
      </c>
      <c r="AV89" s="81">
        <f t="shared" si="17"/>
        <v>0</v>
      </c>
      <c r="AW89" s="7">
        <f t="shared" si="17"/>
        <v>0</v>
      </c>
    </row>
    <row r="90" spans="1:49" ht="18" customHeight="1" thickBot="1" x14ac:dyDescent="0.3">
      <c r="A90" s="47"/>
      <c r="B90" s="89"/>
      <c r="C90" s="126"/>
      <c r="D90" s="96"/>
      <c r="E90" s="95"/>
      <c r="F90" s="95"/>
      <c r="G90" s="95"/>
      <c r="H90" s="95"/>
      <c r="I90" s="94"/>
      <c r="J90" s="93"/>
      <c r="K90" s="98"/>
      <c r="L90" s="95"/>
      <c r="M90" s="95"/>
      <c r="N90" s="95"/>
      <c r="O90" s="92"/>
      <c r="P90" s="94"/>
      <c r="Q90" s="115"/>
      <c r="R90" s="96"/>
      <c r="S90" s="95"/>
      <c r="T90" s="95"/>
      <c r="U90" s="95"/>
      <c r="V90" s="92"/>
      <c r="W90" s="94"/>
      <c r="X90" s="93"/>
      <c r="Y90" s="98"/>
      <c r="Z90" s="95"/>
      <c r="AA90" s="95"/>
      <c r="AB90" s="95"/>
      <c r="AC90" s="92"/>
      <c r="AD90" s="94"/>
      <c r="AE90" s="115"/>
      <c r="AF90" s="96"/>
      <c r="AG90" s="95"/>
      <c r="AH90" s="95"/>
      <c r="AI90" s="95"/>
      <c r="AJ90" s="95"/>
      <c r="AK90" s="94"/>
      <c r="AL90" s="93"/>
      <c r="AM90" s="98"/>
      <c r="AN90" s="95"/>
      <c r="AO90" s="95"/>
      <c r="AP90" s="95"/>
      <c r="AQ90" s="97"/>
      <c r="AR90" s="93"/>
      <c r="AS90" s="100">
        <f t="shared" si="17"/>
        <v>0</v>
      </c>
      <c r="AT90" s="101">
        <f t="shared" si="17"/>
        <v>0</v>
      </c>
      <c r="AU90" s="101">
        <f t="shared" si="17"/>
        <v>0</v>
      </c>
      <c r="AV90" s="102">
        <f t="shared" si="17"/>
        <v>0</v>
      </c>
      <c r="AW90" s="7">
        <f t="shared" si="17"/>
        <v>0</v>
      </c>
    </row>
    <row r="91" spans="1:49" ht="18" customHeight="1" x14ac:dyDescent="0.25">
      <c r="A91" s="47"/>
      <c r="B91" s="103"/>
      <c r="C91" s="25"/>
      <c r="D91" s="25"/>
      <c r="E91" s="25"/>
      <c r="F91" s="25"/>
      <c r="G91" s="25"/>
      <c r="H91" s="25"/>
      <c r="I91" s="25"/>
      <c r="J91" s="103"/>
      <c r="K91" s="103"/>
      <c r="L91" s="25"/>
      <c r="M91" s="25"/>
      <c r="N91" s="25"/>
      <c r="O91" s="25"/>
      <c r="P91" s="25"/>
      <c r="Q91" s="25"/>
      <c r="R91" s="25"/>
      <c r="S91" s="103"/>
      <c r="T91" s="103"/>
      <c r="U91" s="25"/>
      <c r="V91" s="25"/>
      <c r="W91" s="25"/>
      <c r="X91" s="25"/>
      <c r="Y91" s="25"/>
      <c r="Z91" s="25"/>
      <c r="AA91" s="25"/>
      <c r="AB91" s="25"/>
    </row>
    <row r="92" spans="1:49" s="32" customFormat="1" ht="18" customHeight="1" thickBot="1" x14ac:dyDescent="0.3">
      <c r="A92" s="30"/>
      <c r="B92" s="161" t="s">
        <v>45</v>
      </c>
      <c r="C92" s="161"/>
      <c r="D92" s="161"/>
      <c r="E92" s="161"/>
      <c r="F92" s="161"/>
      <c r="G92" s="161"/>
      <c r="H92" s="161"/>
      <c r="I92" s="161"/>
      <c r="J92" s="31"/>
      <c r="K92" s="32">
        <v>10</v>
      </c>
      <c r="S92" s="31"/>
      <c r="AB92" s="33"/>
    </row>
    <row r="93" spans="1:49" ht="18" customHeight="1" thickBot="1" x14ac:dyDescent="0.3">
      <c r="A93" s="47"/>
      <c r="B93" s="36" t="s">
        <v>23</v>
      </c>
      <c r="C93" s="121" t="s">
        <v>24</v>
      </c>
      <c r="D93" s="38" t="s">
        <v>25</v>
      </c>
      <c r="E93" s="39" t="s">
        <v>26</v>
      </c>
      <c r="F93" s="39" t="s">
        <v>27</v>
      </c>
      <c r="G93" s="39" t="s">
        <v>28</v>
      </c>
      <c r="H93" s="39" t="s">
        <v>29</v>
      </c>
      <c r="I93" s="40" t="s">
        <v>30</v>
      </c>
      <c r="J93" s="41" t="s">
        <v>24</v>
      </c>
      <c r="K93" s="42" t="s">
        <v>25</v>
      </c>
      <c r="L93" s="39" t="s">
        <v>26</v>
      </c>
      <c r="M93" s="39" t="s">
        <v>27</v>
      </c>
      <c r="N93" s="39" t="s">
        <v>28</v>
      </c>
      <c r="O93" s="39" t="s">
        <v>29</v>
      </c>
      <c r="P93" s="40" t="s">
        <v>30</v>
      </c>
      <c r="Q93" s="106" t="s">
        <v>24</v>
      </c>
      <c r="R93" s="38" t="s">
        <v>25</v>
      </c>
      <c r="S93" s="39" t="s">
        <v>26</v>
      </c>
      <c r="T93" s="39" t="s">
        <v>27</v>
      </c>
      <c r="U93" s="39" t="s">
        <v>28</v>
      </c>
      <c r="V93" s="39" t="s">
        <v>29</v>
      </c>
      <c r="W93" s="40" t="s">
        <v>30</v>
      </c>
      <c r="X93" s="41" t="s">
        <v>24</v>
      </c>
      <c r="Y93" s="42" t="s">
        <v>25</v>
      </c>
      <c r="Z93" s="39" t="s">
        <v>26</v>
      </c>
      <c r="AA93" s="39" t="s">
        <v>27</v>
      </c>
      <c r="AB93" s="39" t="s">
        <v>28</v>
      </c>
      <c r="AC93" s="39" t="s">
        <v>29</v>
      </c>
      <c r="AD93" s="40" t="s">
        <v>30</v>
      </c>
      <c r="AE93" s="106" t="s">
        <v>24</v>
      </c>
      <c r="AF93" s="38" t="s">
        <v>25</v>
      </c>
      <c r="AG93" s="39" t="s">
        <v>26</v>
      </c>
      <c r="AH93" s="39" t="s">
        <v>27</v>
      </c>
      <c r="AI93" s="39" t="s">
        <v>28</v>
      </c>
      <c r="AJ93" s="39" t="s">
        <v>29</v>
      </c>
      <c r="AK93" s="40" t="s">
        <v>30</v>
      </c>
      <c r="AL93" s="41" t="s">
        <v>24</v>
      </c>
      <c r="AM93" s="42" t="s">
        <v>25</v>
      </c>
      <c r="AN93" s="39" t="s">
        <v>26</v>
      </c>
      <c r="AO93" s="39" t="s">
        <v>27</v>
      </c>
      <c r="AP93" s="39" t="s">
        <v>28</v>
      </c>
      <c r="AQ93" s="39" t="s">
        <v>29</v>
      </c>
      <c r="AR93" s="41" t="s">
        <v>30</v>
      </c>
      <c r="AS93" s="45" t="str">
        <f>+AS85</f>
        <v>F25</v>
      </c>
      <c r="AT93" s="45" t="str">
        <f>+AT85</f>
        <v>F24</v>
      </c>
      <c r="AU93" s="45" t="str">
        <f>+AU85</f>
        <v>DFT</v>
      </c>
      <c r="AV93" s="46" t="s">
        <v>34</v>
      </c>
      <c r="AW93" s="7" t="s">
        <v>35</v>
      </c>
    </row>
    <row r="94" spans="1:49" ht="18" customHeight="1" thickBot="1" x14ac:dyDescent="0.3">
      <c r="A94" s="47"/>
      <c r="B94" s="48"/>
      <c r="C94" s="128">
        <f>IF($C$6=1,1,0)</f>
        <v>0</v>
      </c>
      <c r="D94" s="50">
        <f>IF($D$6=1,1, IF(C94&gt;0,C94+1, 0))</f>
        <v>0</v>
      </c>
      <c r="E94" s="51">
        <f>IF($E$6=1,1, IF(D94&gt;0,D94+1, 0))</f>
        <v>0</v>
      </c>
      <c r="F94" s="51">
        <f>IF($F$6=1,1, IF(E94&gt;0,E94+1, 0))</f>
        <v>1</v>
      </c>
      <c r="G94" s="51">
        <f>IF($G$6=1,1, IF(F94&gt;0,F94+1, 0))</f>
        <v>2</v>
      </c>
      <c r="H94" s="52">
        <f>IF($H$6=1,1, IF(G94&gt;0,G94+1, 0))</f>
        <v>3</v>
      </c>
      <c r="I94" s="53">
        <f>IF($I$6=1,1, IF(H94&gt;0,H94+1, 0))</f>
        <v>4</v>
      </c>
      <c r="J94" s="54">
        <f t="shared" ref="J94:AR94" si="18">IF(AND(I94&gt;0,I94&lt;31),I94+1,0)</f>
        <v>5</v>
      </c>
      <c r="K94" s="55">
        <f t="shared" si="18"/>
        <v>6</v>
      </c>
      <c r="L94" s="51">
        <f t="shared" si="18"/>
        <v>7</v>
      </c>
      <c r="M94" s="51">
        <f t="shared" si="18"/>
        <v>8</v>
      </c>
      <c r="N94" s="51">
        <f t="shared" si="18"/>
        <v>9</v>
      </c>
      <c r="O94" s="52">
        <f t="shared" si="18"/>
        <v>10</v>
      </c>
      <c r="P94" s="53">
        <f t="shared" si="18"/>
        <v>11</v>
      </c>
      <c r="Q94" s="107">
        <f t="shared" si="18"/>
        <v>12</v>
      </c>
      <c r="R94" s="50">
        <f t="shared" si="18"/>
        <v>13</v>
      </c>
      <c r="S94" s="51">
        <f t="shared" si="18"/>
        <v>14</v>
      </c>
      <c r="T94" s="51">
        <f t="shared" si="18"/>
        <v>15</v>
      </c>
      <c r="U94" s="51">
        <f t="shared" si="18"/>
        <v>16</v>
      </c>
      <c r="V94" s="52">
        <f t="shared" si="18"/>
        <v>17</v>
      </c>
      <c r="W94" s="53">
        <f t="shared" si="18"/>
        <v>18</v>
      </c>
      <c r="X94" s="54">
        <f t="shared" si="18"/>
        <v>19</v>
      </c>
      <c r="Y94" s="55">
        <f>IF(AND(X94&gt;0,X94&lt;31),X94+1,0)</f>
        <v>20</v>
      </c>
      <c r="Z94" s="51">
        <f t="shared" si="18"/>
        <v>21</v>
      </c>
      <c r="AA94" s="51">
        <f t="shared" si="18"/>
        <v>22</v>
      </c>
      <c r="AB94" s="51">
        <f t="shared" si="18"/>
        <v>23</v>
      </c>
      <c r="AC94" s="52">
        <f t="shared" si="18"/>
        <v>24</v>
      </c>
      <c r="AD94" s="53">
        <f t="shared" si="18"/>
        <v>25</v>
      </c>
      <c r="AE94" s="107">
        <f t="shared" si="18"/>
        <v>26</v>
      </c>
      <c r="AF94" s="50">
        <f t="shared" si="18"/>
        <v>27</v>
      </c>
      <c r="AG94" s="51">
        <f t="shared" si="18"/>
        <v>28</v>
      </c>
      <c r="AH94" s="51">
        <f t="shared" si="18"/>
        <v>29</v>
      </c>
      <c r="AI94" s="51">
        <f t="shared" si="18"/>
        <v>30</v>
      </c>
      <c r="AJ94" s="52">
        <f t="shared" si="18"/>
        <v>31</v>
      </c>
      <c r="AK94" s="53">
        <f t="shared" si="18"/>
        <v>0</v>
      </c>
      <c r="AL94" s="56">
        <f t="shared" si="18"/>
        <v>0</v>
      </c>
      <c r="AM94" s="55">
        <f t="shared" si="18"/>
        <v>0</v>
      </c>
      <c r="AN94" s="51">
        <f t="shared" si="18"/>
        <v>0</v>
      </c>
      <c r="AO94" s="51">
        <f t="shared" si="18"/>
        <v>0</v>
      </c>
      <c r="AP94" s="51">
        <f t="shared" si="18"/>
        <v>0</v>
      </c>
      <c r="AQ94" s="52">
        <f t="shared" si="18"/>
        <v>0</v>
      </c>
      <c r="AR94" s="56">
        <f t="shared" si="18"/>
        <v>0</v>
      </c>
    </row>
    <row r="95" spans="1:49" ht="18" customHeight="1" x14ac:dyDescent="0.25">
      <c r="A95" s="47"/>
      <c r="B95" s="109" t="str">
        <f>+$B$23</f>
        <v xml:space="preserve">Pedro </v>
      </c>
      <c r="C95" s="129"/>
      <c r="D95" s="63"/>
      <c r="E95" s="60"/>
      <c r="F95" s="60"/>
      <c r="G95" s="60"/>
      <c r="H95" s="86"/>
      <c r="I95" s="65"/>
      <c r="J95" s="62"/>
      <c r="K95" s="66"/>
      <c r="L95" s="60"/>
      <c r="M95" s="60"/>
      <c r="N95" s="60"/>
      <c r="O95" s="64"/>
      <c r="P95" s="65"/>
      <c r="Q95" s="67"/>
      <c r="R95" s="63"/>
      <c r="S95" s="60"/>
      <c r="T95" s="60"/>
      <c r="U95" s="60"/>
      <c r="V95" s="64"/>
      <c r="W95" s="65"/>
      <c r="X95" s="62"/>
      <c r="Y95" s="66"/>
      <c r="Z95" s="60"/>
      <c r="AA95" s="60"/>
      <c r="AB95" s="60"/>
      <c r="AC95" s="64"/>
      <c r="AD95" s="65"/>
      <c r="AE95" s="67"/>
      <c r="AF95" s="63"/>
      <c r="AG95" s="60"/>
      <c r="AH95" s="60"/>
      <c r="AI95" s="60"/>
      <c r="AJ95" s="64"/>
      <c r="AK95" s="65"/>
      <c r="AL95" s="62"/>
      <c r="AM95" s="66"/>
      <c r="AN95" s="60"/>
      <c r="AO95" s="60"/>
      <c r="AP95" s="60"/>
      <c r="AQ95" s="64"/>
      <c r="AR95" s="62"/>
      <c r="AS95" s="68">
        <f t="shared" ref="AS95:AW98" si="19">COUNTIF($C95:$AR95,AS$21)</f>
        <v>0</v>
      </c>
      <c r="AT95" s="69">
        <f t="shared" si="19"/>
        <v>0</v>
      </c>
      <c r="AU95" s="69">
        <f t="shared" si="19"/>
        <v>0</v>
      </c>
      <c r="AV95" s="70">
        <f t="shared" si="19"/>
        <v>0</v>
      </c>
      <c r="AW95" s="7">
        <f>COUNTIF($C95:$AR95,AW$21)</f>
        <v>0</v>
      </c>
    </row>
    <row r="96" spans="1:49" ht="18" customHeight="1" x14ac:dyDescent="0.25">
      <c r="A96" s="47"/>
      <c r="B96" s="57" t="str">
        <f>+$B$24</f>
        <v>Miguel</v>
      </c>
      <c r="C96" s="78"/>
      <c r="D96" s="114"/>
      <c r="E96" s="73"/>
      <c r="F96" s="86"/>
      <c r="G96" s="86"/>
      <c r="H96" s="86"/>
      <c r="I96" s="86"/>
      <c r="J96" s="87"/>
      <c r="K96" s="88"/>
      <c r="L96" s="73"/>
      <c r="M96" s="73"/>
      <c r="N96" s="73"/>
      <c r="O96" s="85"/>
      <c r="P96" s="86"/>
      <c r="Q96" s="113"/>
      <c r="R96" s="114"/>
      <c r="S96" s="73"/>
      <c r="T96" s="73"/>
      <c r="U96" s="73"/>
      <c r="V96" s="85"/>
      <c r="W96" s="86"/>
      <c r="X96" s="87"/>
      <c r="Y96" s="61" t="s">
        <v>32</v>
      </c>
      <c r="Z96" s="73"/>
      <c r="AA96" s="73"/>
      <c r="AB96" s="73"/>
      <c r="AC96" s="85"/>
      <c r="AD96" s="86"/>
      <c r="AE96" s="113"/>
      <c r="AF96" s="85"/>
      <c r="AG96" s="72"/>
      <c r="AH96" s="72"/>
      <c r="AI96" s="72"/>
      <c r="AJ96" s="75"/>
      <c r="AK96" s="76"/>
      <c r="AL96" s="74"/>
      <c r="AM96" s="77"/>
      <c r="AN96" s="72"/>
      <c r="AO96" s="72"/>
      <c r="AP96" s="72"/>
      <c r="AQ96" s="75"/>
      <c r="AR96" s="74"/>
      <c r="AS96" s="79">
        <f t="shared" si="19"/>
        <v>1</v>
      </c>
      <c r="AT96" s="80">
        <f t="shared" si="19"/>
        <v>0</v>
      </c>
      <c r="AU96" s="80">
        <f t="shared" si="19"/>
        <v>0</v>
      </c>
      <c r="AV96" s="81">
        <f t="shared" si="19"/>
        <v>0</v>
      </c>
      <c r="AW96" s="7">
        <f>COUNTIF($C96:$AR96,AW$21)</f>
        <v>0</v>
      </c>
    </row>
    <row r="97" spans="1:49" ht="18" customHeight="1" x14ac:dyDescent="0.25">
      <c r="A97" s="47"/>
      <c r="B97" s="57" t="str">
        <f>+$B$25</f>
        <v>Gichelson</v>
      </c>
      <c r="C97" s="130"/>
      <c r="D97" s="114"/>
      <c r="E97" s="73"/>
      <c r="F97" s="86"/>
      <c r="G97" s="86"/>
      <c r="H97" s="86"/>
      <c r="I97" s="86"/>
      <c r="J97" s="87"/>
      <c r="K97" s="88"/>
      <c r="L97" s="73"/>
      <c r="M97" s="73"/>
      <c r="N97" s="73"/>
      <c r="O97" s="85"/>
      <c r="P97" s="86"/>
      <c r="Q97" s="113"/>
      <c r="R97" s="114"/>
      <c r="S97" s="73"/>
      <c r="T97" s="73"/>
      <c r="U97" s="73"/>
      <c r="V97" s="85"/>
      <c r="W97" s="86"/>
      <c r="X97" s="87"/>
      <c r="Y97" s="88"/>
      <c r="Z97" s="73"/>
      <c r="AA97" s="73"/>
      <c r="AB97" s="73"/>
      <c r="AC97" s="85"/>
      <c r="AD97" s="86"/>
      <c r="AE97" s="113"/>
      <c r="AF97" s="114"/>
      <c r="AG97" s="72"/>
      <c r="AH97" s="72"/>
      <c r="AI97" s="72"/>
      <c r="AJ97" s="75"/>
      <c r="AK97" s="76"/>
      <c r="AL97" s="74"/>
      <c r="AM97" s="77"/>
      <c r="AN97" s="72"/>
      <c r="AO97" s="72"/>
      <c r="AP97" s="72"/>
      <c r="AQ97" s="75"/>
      <c r="AR97" s="74"/>
      <c r="AS97" s="79">
        <f t="shared" si="19"/>
        <v>0</v>
      </c>
      <c r="AT97" s="80">
        <f t="shared" si="19"/>
        <v>0</v>
      </c>
      <c r="AU97" s="80">
        <f t="shared" si="19"/>
        <v>0</v>
      </c>
      <c r="AV97" s="81">
        <f t="shared" si="19"/>
        <v>0</v>
      </c>
      <c r="AW97" s="7">
        <f t="shared" si="19"/>
        <v>0</v>
      </c>
    </row>
    <row r="98" spans="1:49" ht="18" customHeight="1" thickBot="1" x14ac:dyDescent="0.3">
      <c r="A98" s="47"/>
      <c r="B98" s="89"/>
      <c r="C98" s="126"/>
      <c r="D98" s="96"/>
      <c r="E98" s="95"/>
      <c r="F98" s="95"/>
      <c r="G98" s="95"/>
      <c r="H98" s="92"/>
      <c r="I98" s="94"/>
      <c r="J98" s="93"/>
      <c r="K98" s="131"/>
      <c r="L98" s="95"/>
      <c r="M98" s="95"/>
      <c r="N98" s="95"/>
      <c r="O98" s="92"/>
      <c r="P98" s="94"/>
      <c r="Q98" s="115"/>
      <c r="R98" s="96"/>
      <c r="S98" s="95"/>
      <c r="T98" s="95"/>
      <c r="U98" s="95"/>
      <c r="V98" s="95"/>
      <c r="W98" s="94"/>
      <c r="X98" s="93"/>
      <c r="Y98" s="92"/>
      <c r="Z98" s="92"/>
      <c r="AA98" s="92"/>
      <c r="AB98" s="92"/>
      <c r="AC98" s="92"/>
      <c r="AD98" s="94"/>
      <c r="AE98" s="115"/>
      <c r="AF98" s="96"/>
      <c r="AG98" s="95"/>
      <c r="AH98" s="95"/>
      <c r="AI98" s="95"/>
      <c r="AJ98" s="95"/>
      <c r="AK98" s="94"/>
      <c r="AL98" s="93"/>
      <c r="AM98" s="98"/>
      <c r="AN98" s="95"/>
      <c r="AO98" s="95"/>
      <c r="AP98" s="95"/>
      <c r="AQ98" s="97"/>
      <c r="AR98" s="93"/>
      <c r="AS98" s="100">
        <f t="shared" si="19"/>
        <v>0</v>
      </c>
      <c r="AT98" s="101">
        <f t="shared" si="19"/>
        <v>0</v>
      </c>
      <c r="AU98" s="101">
        <f t="shared" si="19"/>
        <v>0</v>
      </c>
      <c r="AV98" s="102">
        <f t="shared" si="19"/>
        <v>0</v>
      </c>
      <c r="AW98" s="7">
        <f t="shared" si="19"/>
        <v>0</v>
      </c>
    </row>
    <row r="99" spans="1:49" ht="18" customHeight="1" x14ac:dyDescent="0.25">
      <c r="A99" s="47"/>
      <c r="B99" s="103"/>
      <c r="C99" s="25"/>
      <c r="D99" s="25"/>
      <c r="E99" s="25"/>
      <c r="F99" s="25"/>
      <c r="G99" s="25"/>
      <c r="H99" s="25"/>
      <c r="I99" s="25"/>
      <c r="J99" s="103"/>
      <c r="K99" s="103"/>
      <c r="L99" s="25"/>
      <c r="M99" s="25"/>
      <c r="N99" s="25"/>
      <c r="O99" s="25"/>
      <c r="P99" s="25"/>
      <c r="Q99" s="25"/>
      <c r="R99" s="25"/>
      <c r="S99" s="103"/>
      <c r="T99" s="103"/>
      <c r="U99" s="25"/>
      <c r="V99" s="25"/>
      <c r="W99" s="25"/>
      <c r="X99" s="25"/>
      <c r="Y99" s="25"/>
      <c r="Z99" s="25"/>
      <c r="AA99" s="25"/>
      <c r="AB99" s="25"/>
    </row>
    <row r="100" spans="1:49" ht="18" customHeight="1" thickBot="1" x14ac:dyDescent="0.3">
      <c r="A100" s="47"/>
      <c r="B100" s="161" t="s">
        <v>46</v>
      </c>
      <c r="C100" s="161"/>
      <c r="D100" s="161"/>
      <c r="E100" s="161"/>
      <c r="F100" s="161"/>
      <c r="G100" s="161"/>
      <c r="H100" s="161"/>
      <c r="I100" s="161"/>
      <c r="J100" s="103"/>
      <c r="K100" s="103">
        <v>11</v>
      </c>
      <c r="L100" s="25"/>
      <c r="M100" s="25"/>
      <c r="N100" s="25"/>
      <c r="O100" s="25"/>
      <c r="P100" s="25"/>
      <c r="Q100" s="25"/>
      <c r="R100" s="25"/>
      <c r="S100" s="103"/>
      <c r="T100" s="103"/>
      <c r="U100" s="25"/>
      <c r="V100" s="25"/>
      <c r="W100" s="25"/>
      <c r="X100" s="25"/>
      <c r="Y100" s="25"/>
      <c r="Z100" s="25"/>
      <c r="AA100" s="25"/>
      <c r="AB100" s="25"/>
    </row>
    <row r="101" spans="1:49" ht="18" customHeight="1" thickBot="1" x14ac:dyDescent="0.3">
      <c r="A101" s="47"/>
      <c r="B101" s="36" t="s">
        <v>23</v>
      </c>
      <c r="C101" s="121" t="s">
        <v>24</v>
      </c>
      <c r="D101" s="38" t="s">
        <v>25</v>
      </c>
      <c r="E101" s="39" t="s">
        <v>26</v>
      </c>
      <c r="F101" s="39" t="s">
        <v>27</v>
      </c>
      <c r="G101" s="39" t="s">
        <v>28</v>
      </c>
      <c r="H101" s="39" t="s">
        <v>29</v>
      </c>
      <c r="I101" s="40" t="s">
        <v>30</v>
      </c>
      <c r="J101" s="41" t="s">
        <v>24</v>
      </c>
      <c r="K101" s="42" t="s">
        <v>25</v>
      </c>
      <c r="L101" s="39" t="s">
        <v>26</v>
      </c>
      <c r="M101" s="39" t="s">
        <v>27</v>
      </c>
      <c r="N101" s="39" t="s">
        <v>28</v>
      </c>
      <c r="O101" s="39" t="s">
        <v>29</v>
      </c>
      <c r="P101" s="40" t="s">
        <v>30</v>
      </c>
      <c r="Q101" s="106" t="s">
        <v>24</v>
      </c>
      <c r="R101" s="38" t="s">
        <v>25</v>
      </c>
      <c r="S101" s="39" t="s">
        <v>26</v>
      </c>
      <c r="T101" s="39" t="s">
        <v>27</v>
      </c>
      <c r="U101" s="39" t="s">
        <v>28</v>
      </c>
      <c r="V101" s="39" t="s">
        <v>29</v>
      </c>
      <c r="W101" s="40" t="s">
        <v>30</v>
      </c>
      <c r="X101" s="41" t="s">
        <v>24</v>
      </c>
      <c r="Y101" s="42" t="s">
        <v>25</v>
      </c>
      <c r="Z101" s="39" t="s">
        <v>26</v>
      </c>
      <c r="AA101" s="39" t="s">
        <v>27</v>
      </c>
      <c r="AB101" s="39" t="s">
        <v>28</v>
      </c>
      <c r="AC101" s="39" t="s">
        <v>29</v>
      </c>
      <c r="AD101" s="40" t="s">
        <v>30</v>
      </c>
      <c r="AE101" s="106" t="s">
        <v>24</v>
      </c>
      <c r="AF101" s="38" t="s">
        <v>25</v>
      </c>
      <c r="AG101" s="39" t="s">
        <v>26</v>
      </c>
      <c r="AH101" s="39" t="s">
        <v>27</v>
      </c>
      <c r="AI101" s="39" t="s">
        <v>28</v>
      </c>
      <c r="AJ101" s="39" t="s">
        <v>29</v>
      </c>
      <c r="AK101" s="40" t="s">
        <v>30</v>
      </c>
      <c r="AL101" s="41" t="s">
        <v>24</v>
      </c>
      <c r="AM101" s="42" t="s">
        <v>25</v>
      </c>
      <c r="AN101" s="39" t="s">
        <v>26</v>
      </c>
      <c r="AO101" s="39" t="s">
        <v>27</v>
      </c>
      <c r="AP101" s="39" t="s">
        <v>28</v>
      </c>
      <c r="AQ101" s="39" t="s">
        <v>29</v>
      </c>
      <c r="AR101" s="41" t="s">
        <v>30</v>
      </c>
      <c r="AS101" s="45" t="str">
        <f>+AS93</f>
        <v>F25</v>
      </c>
      <c r="AT101" s="45" t="str">
        <f>+AT93</f>
        <v>F24</v>
      </c>
      <c r="AU101" s="45" t="str">
        <f>+AU93</f>
        <v>DFT</v>
      </c>
      <c r="AV101" s="46" t="s">
        <v>34</v>
      </c>
      <c r="AW101" s="7" t="s">
        <v>35</v>
      </c>
    </row>
    <row r="102" spans="1:49" ht="18" customHeight="1" thickBot="1" x14ac:dyDescent="0.3">
      <c r="A102" s="47"/>
      <c r="B102" s="48"/>
      <c r="C102" s="122">
        <f>IF($L$6=1,1,0)</f>
        <v>0</v>
      </c>
      <c r="D102" s="50">
        <f>IF($M$6=1,1, IF(C102&gt;0,C102+1, 0))</f>
        <v>0</v>
      </c>
      <c r="E102" s="51">
        <f>IF($N$6=1,1, IF(D102&gt;0,D102+1, 0))</f>
        <v>0</v>
      </c>
      <c r="F102" s="51">
        <f>IF($O$6=1,1, IF(E102&gt;0,E102+1, 0))</f>
        <v>0</v>
      </c>
      <c r="G102" s="51">
        <f>IF($P$6=1,1, IF(F102&gt;0,F102+1, 0))</f>
        <v>0</v>
      </c>
      <c r="H102" s="52">
        <f>IF($Q$6=1,1, IF(G102&gt;0,G102+1, 0))</f>
        <v>0</v>
      </c>
      <c r="I102" s="53">
        <f>IF($R$6=1,1, IF(H102&gt;0,H102+1, 0))</f>
        <v>1</v>
      </c>
      <c r="J102" s="54">
        <f t="shared" ref="J102:AR102" si="20">IF(AND(I102&gt;0,I102&lt;30),I102+1,0)</f>
        <v>2</v>
      </c>
      <c r="K102" s="55">
        <f t="shared" si="20"/>
        <v>3</v>
      </c>
      <c r="L102" s="51">
        <f t="shared" si="20"/>
        <v>4</v>
      </c>
      <c r="M102" s="51">
        <f t="shared" si="20"/>
        <v>5</v>
      </c>
      <c r="N102" s="51">
        <f t="shared" si="20"/>
        <v>6</v>
      </c>
      <c r="O102" s="52">
        <f t="shared" si="20"/>
        <v>7</v>
      </c>
      <c r="P102" s="53">
        <f t="shared" si="20"/>
        <v>8</v>
      </c>
      <c r="Q102" s="107">
        <f t="shared" si="20"/>
        <v>9</v>
      </c>
      <c r="R102" s="50">
        <f t="shared" si="20"/>
        <v>10</v>
      </c>
      <c r="S102" s="51">
        <f t="shared" si="20"/>
        <v>11</v>
      </c>
      <c r="T102" s="51">
        <f t="shared" si="20"/>
        <v>12</v>
      </c>
      <c r="U102" s="51">
        <f t="shared" si="20"/>
        <v>13</v>
      </c>
      <c r="V102" s="52">
        <f t="shared" si="20"/>
        <v>14</v>
      </c>
      <c r="W102" s="53">
        <f t="shared" si="20"/>
        <v>15</v>
      </c>
      <c r="X102" s="54">
        <f t="shared" si="20"/>
        <v>16</v>
      </c>
      <c r="Y102" s="55">
        <f>IF(AND(X102&gt;0,X102&lt;30),X102+1,0)</f>
        <v>17</v>
      </c>
      <c r="Z102" s="51">
        <f t="shared" si="20"/>
        <v>18</v>
      </c>
      <c r="AA102" s="51">
        <f t="shared" si="20"/>
        <v>19</v>
      </c>
      <c r="AB102" s="51">
        <f t="shared" si="20"/>
        <v>20</v>
      </c>
      <c r="AC102" s="52">
        <f t="shared" si="20"/>
        <v>21</v>
      </c>
      <c r="AD102" s="53">
        <f t="shared" si="20"/>
        <v>22</v>
      </c>
      <c r="AE102" s="107">
        <f t="shared" si="20"/>
        <v>23</v>
      </c>
      <c r="AF102" s="50">
        <f t="shared" si="20"/>
        <v>24</v>
      </c>
      <c r="AG102" s="51">
        <f t="shared" si="20"/>
        <v>25</v>
      </c>
      <c r="AH102" s="51">
        <f t="shared" si="20"/>
        <v>26</v>
      </c>
      <c r="AI102" s="51">
        <f t="shared" si="20"/>
        <v>27</v>
      </c>
      <c r="AJ102" s="52">
        <f t="shared" si="20"/>
        <v>28</v>
      </c>
      <c r="AK102" s="53">
        <f t="shared" si="20"/>
        <v>29</v>
      </c>
      <c r="AL102" s="56">
        <f t="shared" si="20"/>
        <v>30</v>
      </c>
      <c r="AM102" s="55">
        <f t="shared" si="20"/>
        <v>0</v>
      </c>
      <c r="AN102" s="51">
        <f t="shared" si="20"/>
        <v>0</v>
      </c>
      <c r="AO102" s="51">
        <f t="shared" si="20"/>
        <v>0</v>
      </c>
      <c r="AP102" s="51">
        <f t="shared" si="20"/>
        <v>0</v>
      </c>
      <c r="AQ102" s="52">
        <f t="shared" si="20"/>
        <v>0</v>
      </c>
      <c r="AR102" s="56">
        <f t="shared" si="20"/>
        <v>0</v>
      </c>
    </row>
    <row r="103" spans="1:49" ht="18" customHeight="1" x14ac:dyDescent="0.25">
      <c r="A103" s="47"/>
      <c r="B103" s="109" t="str">
        <f>+$B$23</f>
        <v xml:space="preserve">Pedro </v>
      </c>
      <c r="C103" s="123"/>
      <c r="D103" s="63"/>
      <c r="E103" s="60"/>
      <c r="F103" s="60"/>
      <c r="G103" s="60"/>
      <c r="H103" s="64"/>
      <c r="I103" s="65"/>
      <c r="J103" s="62"/>
      <c r="K103" s="66"/>
      <c r="L103" s="60"/>
      <c r="M103" s="60"/>
      <c r="N103" s="60"/>
      <c r="O103" s="64"/>
      <c r="P103" s="65"/>
      <c r="Q103" s="67"/>
      <c r="R103" s="63"/>
      <c r="S103" s="60"/>
      <c r="T103" s="60"/>
      <c r="U103" s="60"/>
      <c r="V103" s="64"/>
      <c r="W103" s="65"/>
      <c r="X103" s="62"/>
      <c r="Y103" s="66"/>
      <c r="Z103" s="60"/>
      <c r="AA103" s="60"/>
      <c r="AB103" s="60"/>
      <c r="AC103" s="64"/>
      <c r="AD103" s="65"/>
      <c r="AE103" s="67"/>
      <c r="AF103" s="63"/>
      <c r="AG103" s="60"/>
      <c r="AH103" s="60"/>
      <c r="AI103" s="60"/>
      <c r="AJ103" s="64"/>
      <c r="AK103" s="65"/>
      <c r="AL103" s="62"/>
      <c r="AM103" s="66"/>
      <c r="AN103" s="60"/>
      <c r="AO103" s="60"/>
      <c r="AP103" s="60"/>
      <c r="AQ103" s="64"/>
      <c r="AR103" s="62"/>
      <c r="AS103" s="68">
        <f t="shared" ref="AS103:AW106" si="21">COUNTIF($C103:$AR103,AS$21)</f>
        <v>0</v>
      </c>
      <c r="AT103" s="69">
        <f t="shared" si="21"/>
        <v>0</v>
      </c>
      <c r="AU103" s="69">
        <f t="shared" si="21"/>
        <v>0</v>
      </c>
      <c r="AV103" s="70">
        <f t="shared" si="21"/>
        <v>0</v>
      </c>
      <c r="AW103" s="7">
        <f>COUNTIF($C103:$AR103,AW$21)</f>
        <v>0</v>
      </c>
    </row>
    <row r="104" spans="1:49" ht="18" customHeight="1" x14ac:dyDescent="0.25">
      <c r="A104" s="47"/>
      <c r="B104" s="57" t="str">
        <f>+$B$24</f>
        <v>Miguel</v>
      </c>
      <c r="C104" s="124"/>
      <c r="D104" s="59"/>
      <c r="E104" s="72"/>
      <c r="F104" s="72"/>
      <c r="G104" s="72"/>
      <c r="H104" s="75"/>
      <c r="I104" s="76"/>
      <c r="J104" s="74"/>
      <c r="K104" s="77"/>
      <c r="L104" s="72"/>
      <c r="M104" s="72"/>
      <c r="N104" s="72"/>
      <c r="O104" s="75"/>
      <c r="P104" s="76"/>
      <c r="Q104" s="78"/>
      <c r="R104" s="59"/>
      <c r="S104" s="72"/>
      <c r="T104" s="88"/>
      <c r="U104" s="72"/>
      <c r="V104" s="75"/>
      <c r="W104" s="76"/>
      <c r="X104" s="74"/>
      <c r="Y104" s="77"/>
      <c r="Z104" s="72"/>
      <c r="AA104" s="72"/>
      <c r="AB104" s="72"/>
      <c r="AC104" s="75"/>
      <c r="AD104" s="76"/>
      <c r="AE104" s="78"/>
      <c r="AF104" s="59"/>
      <c r="AG104" s="72"/>
      <c r="AH104" s="72"/>
      <c r="AI104" s="72"/>
      <c r="AJ104" s="75"/>
      <c r="AK104" s="76"/>
      <c r="AL104" s="74"/>
      <c r="AM104" s="77"/>
      <c r="AN104" s="72"/>
      <c r="AO104" s="72"/>
      <c r="AP104" s="72"/>
      <c r="AQ104" s="75"/>
      <c r="AR104" s="74"/>
      <c r="AS104" s="79">
        <f t="shared" si="21"/>
        <v>0</v>
      </c>
      <c r="AT104" s="80">
        <f t="shared" si="21"/>
        <v>0</v>
      </c>
      <c r="AU104" s="80">
        <f t="shared" si="21"/>
        <v>0</v>
      </c>
      <c r="AV104" s="81">
        <f t="shared" si="21"/>
        <v>0</v>
      </c>
      <c r="AW104" s="7">
        <f>COUNTIF($C104:$AR104,AW$21)</f>
        <v>0</v>
      </c>
    </row>
    <row r="105" spans="1:49" ht="18" customHeight="1" x14ac:dyDescent="0.25">
      <c r="A105" s="47"/>
      <c r="B105" s="57" t="str">
        <f>+$B$25</f>
        <v>Gichelson</v>
      </c>
      <c r="C105" s="124"/>
      <c r="D105" s="59"/>
      <c r="E105" s="72"/>
      <c r="F105" s="72"/>
      <c r="G105" s="72"/>
      <c r="H105" s="75"/>
      <c r="I105" s="76"/>
      <c r="J105" s="74"/>
      <c r="K105" s="77"/>
      <c r="L105" s="72"/>
      <c r="M105" s="72"/>
      <c r="N105" s="72"/>
      <c r="O105" s="76"/>
      <c r="P105" s="76"/>
      <c r="Q105" s="78"/>
      <c r="R105" s="59"/>
      <c r="S105" s="76"/>
      <c r="T105" s="88"/>
      <c r="U105" s="88"/>
      <c r="V105" s="76"/>
      <c r="W105" s="76"/>
      <c r="X105" s="74"/>
      <c r="Y105" s="76"/>
      <c r="Z105" s="76"/>
      <c r="AA105" s="76"/>
      <c r="AB105" s="76"/>
      <c r="AC105" s="76"/>
      <c r="AD105" s="76"/>
      <c r="AE105" s="78"/>
      <c r="AF105" s="59"/>
      <c r="AH105" s="72"/>
      <c r="AI105" s="72"/>
      <c r="AJ105" s="88"/>
      <c r="AK105" s="76"/>
      <c r="AL105" s="74"/>
      <c r="AM105" s="77"/>
      <c r="AN105" s="72"/>
      <c r="AO105" s="72"/>
      <c r="AP105" s="72"/>
      <c r="AQ105" s="75"/>
      <c r="AR105" s="74"/>
      <c r="AS105" s="79">
        <f t="shared" si="21"/>
        <v>0</v>
      </c>
      <c r="AT105" s="80">
        <f t="shared" si="21"/>
        <v>0</v>
      </c>
      <c r="AU105" s="80">
        <f t="shared" si="21"/>
        <v>0</v>
      </c>
      <c r="AV105" s="81">
        <f t="shared" si="21"/>
        <v>0</v>
      </c>
      <c r="AW105" s="7">
        <f t="shared" si="21"/>
        <v>0</v>
      </c>
    </row>
    <row r="106" spans="1:49" ht="18" customHeight="1" thickBot="1" x14ac:dyDescent="0.3">
      <c r="A106" s="47"/>
      <c r="B106" s="89"/>
      <c r="C106" s="133"/>
      <c r="D106" s="96"/>
      <c r="E106" s="95"/>
      <c r="F106" s="95"/>
      <c r="G106" s="95"/>
      <c r="H106" s="92"/>
      <c r="I106" s="94"/>
      <c r="J106" s="93"/>
      <c r="K106" s="98"/>
      <c r="L106" s="95"/>
      <c r="M106" s="95"/>
      <c r="N106" s="95"/>
      <c r="O106" s="92"/>
      <c r="P106" s="94"/>
      <c r="Q106" s="115"/>
      <c r="R106" s="96"/>
      <c r="S106" s="95"/>
      <c r="T106" s="92"/>
      <c r="U106" s="92"/>
      <c r="V106" s="92"/>
      <c r="W106" s="94"/>
      <c r="X106" s="93"/>
      <c r="Y106" s="98"/>
      <c r="Z106" s="95"/>
      <c r="AA106" s="95"/>
      <c r="AB106" s="95"/>
      <c r="AC106" s="92"/>
      <c r="AD106" s="94"/>
      <c r="AE106" s="115"/>
      <c r="AF106" s="96"/>
      <c r="AG106" s="95"/>
      <c r="AH106" s="95"/>
      <c r="AI106" s="95"/>
      <c r="AJ106" s="97"/>
      <c r="AK106" s="94"/>
      <c r="AL106" s="93"/>
      <c r="AM106" s="98"/>
      <c r="AN106" s="95"/>
      <c r="AO106" s="95"/>
      <c r="AP106" s="95"/>
      <c r="AQ106" s="97"/>
      <c r="AR106" s="93"/>
      <c r="AS106" s="100">
        <f t="shared" si="21"/>
        <v>0</v>
      </c>
      <c r="AT106" s="101">
        <f t="shared" si="21"/>
        <v>0</v>
      </c>
      <c r="AU106" s="101">
        <f t="shared" si="21"/>
        <v>0</v>
      </c>
      <c r="AV106" s="102">
        <f t="shared" si="21"/>
        <v>0</v>
      </c>
      <c r="AW106" s="7">
        <f t="shared" si="21"/>
        <v>0</v>
      </c>
    </row>
    <row r="107" spans="1:49" ht="18" customHeight="1" x14ac:dyDescent="0.25">
      <c r="A107" s="47"/>
      <c r="B107" s="103"/>
      <c r="C107" s="25"/>
      <c r="D107" s="25"/>
      <c r="E107" s="25"/>
      <c r="F107" s="25"/>
      <c r="G107" s="25"/>
      <c r="H107" s="25"/>
      <c r="I107" s="25"/>
      <c r="J107" s="103"/>
      <c r="K107" s="103"/>
      <c r="L107" s="25"/>
      <c r="M107" s="25"/>
      <c r="N107" s="25"/>
      <c r="O107" s="25"/>
      <c r="P107" s="25"/>
      <c r="Q107" s="25"/>
      <c r="R107" s="25"/>
      <c r="S107" s="103"/>
      <c r="T107" s="103"/>
      <c r="U107" s="25"/>
      <c r="V107" s="25"/>
      <c r="W107" s="25"/>
      <c r="X107" s="25"/>
      <c r="Y107" s="25"/>
      <c r="Z107" s="25"/>
      <c r="AA107" s="25"/>
      <c r="AB107" s="25"/>
    </row>
    <row r="108" spans="1:49" ht="18" customHeight="1" thickBot="1" x14ac:dyDescent="0.3">
      <c r="A108" s="47"/>
      <c r="B108" s="161" t="s">
        <v>47</v>
      </c>
      <c r="C108" s="161"/>
      <c r="D108" s="161"/>
      <c r="E108" s="161"/>
      <c r="F108" s="161"/>
      <c r="G108" s="161"/>
      <c r="H108" s="161"/>
      <c r="I108" s="161"/>
      <c r="J108" s="103"/>
      <c r="K108" s="103">
        <v>12</v>
      </c>
      <c r="L108" s="25"/>
      <c r="M108" s="25"/>
      <c r="N108" s="25"/>
      <c r="O108" s="25"/>
      <c r="P108" s="25"/>
      <c r="Q108" s="25"/>
      <c r="R108" s="25"/>
      <c r="S108" s="103"/>
      <c r="T108" s="103"/>
      <c r="U108" s="25"/>
      <c r="V108" s="25"/>
      <c r="W108" s="25"/>
      <c r="X108" s="25"/>
      <c r="Y108" s="25"/>
      <c r="Z108" s="25"/>
      <c r="AA108" s="25"/>
      <c r="AB108" s="25"/>
    </row>
    <row r="109" spans="1:49" ht="18" customHeight="1" thickBot="1" x14ac:dyDescent="0.3">
      <c r="A109" s="47"/>
      <c r="B109" s="36" t="s">
        <v>23</v>
      </c>
      <c r="C109" s="121" t="s">
        <v>24</v>
      </c>
      <c r="D109" s="38" t="s">
        <v>25</v>
      </c>
      <c r="E109" s="39" t="s">
        <v>26</v>
      </c>
      <c r="F109" s="39" t="s">
        <v>27</v>
      </c>
      <c r="G109" s="39" t="s">
        <v>28</v>
      </c>
      <c r="H109" s="39" t="s">
        <v>29</v>
      </c>
      <c r="I109" s="40" t="s">
        <v>30</v>
      </c>
      <c r="J109" s="41" t="s">
        <v>24</v>
      </c>
      <c r="K109" s="42" t="s">
        <v>25</v>
      </c>
      <c r="L109" s="39" t="s">
        <v>26</v>
      </c>
      <c r="M109" s="39" t="s">
        <v>27</v>
      </c>
      <c r="N109" s="39" t="s">
        <v>28</v>
      </c>
      <c r="O109" s="39" t="s">
        <v>29</v>
      </c>
      <c r="P109" s="40" t="s">
        <v>30</v>
      </c>
      <c r="Q109" s="106" t="s">
        <v>24</v>
      </c>
      <c r="R109" s="38" t="s">
        <v>25</v>
      </c>
      <c r="S109" s="39" t="s">
        <v>26</v>
      </c>
      <c r="T109" s="39" t="s">
        <v>27</v>
      </c>
      <c r="U109" s="39" t="s">
        <v>28</v>
      </c>
      <c r="V109" s="39" t="s">
        <v>29</v>
      </c>
      <c r="W109" s="40" t="s">
        <v>30</v>
      </c>
      <c r="X109" s="41" t="s">
        <v>24</v>
      </c>
      <c r="Y109" s="42" t="s">
        <v>25</v>
      </c>
      <c r="Z109" s="39" t="s">
        <v>26</v>
      </c>
      <c r="AA109" s="39" t="s">
        <v>27</v>
      </c>
      <c r="AB109" s="39" t="s">
        <v>28</v>
      </c>
      <c r="AC109" s="39" t="s">
        <v>29</v>
      </c>
      <c r="AD109" s="40" t="s">
        <v>30</v>
      </c>
      <c r="AE109" s="106" t="s">
        <v>24</v>
      </c>
      <c r="AF109" s="38" t="s">
        <v>25</v>
      </c>
      <c r="AG109" s="39" t="s">
        <v>26</v>
      </c>
      <c r="AH109" s="39" t="s">
        <v>27</v>
      </c>
      <c r="AI109" s="39" t="s">
        <v>28</v>
      </c>
      <c r="AJ109" s="39" t="s">
        <v>29</v>
      </c>
      <c r="AK109" s="40" t="s">
        <v>30</v>
      </c>
      <c r="AL109" s="41" t="s">
        <v>24</v>
      </c>
      <c r="AM109" s="42" t="s">
        <v>25</v>
      </c>
      <c r="AN109" s="39" t="s">
        <v>26</v>
      </c>
      <c r="AO109" s="39" t="s">
        <v>27</v>
      </c>
      <c r="AP109" s="39" t="s">
        <v>28</v>
      </c>
      <c r="AQ109" s="39" t="s">
        <v>29</v>
      </c>
      <c r="AR109" s="41" t="s">
        <v>30</v>
      </c>
      <c r="AS109" s="45" t="str">
        <f>+AS101</f>
        <v>F25</v>
      </c>
      <c r="AT109" s="45" t="str">
        <f>+AT101</f>
        <v>F24</v>
      </c>
      <c r="AU109" s="45" t="str">
        <f>+AU101</f>
        <v>DFT</v>
      </c>
      <c r="AV109" s="46" t="s">
        <v>34</v>
      </c>
      <c r="AW109" s="7" t="s">
        <v>35</v>
      </c>
    </row>
    <row r="110" spans="1:49" ht="18" customHeight="1" thickBot="1" x14ac:dyDescent="0.3">
      <c r="A110" s="47"/>
      <c r="B110" s="48"/>
      <c r="C110" s="122">
        <f>IF($U$6=1,1,0)</f>
        <v>0</v>
      </c>
      <c r="D110" s="50">
        <f>IF($V$6=1,1, IF(C110&gt;0,C110+1, 0))</f>
        <v>1</v>
      </c>
      <c r="E110" s="51">
        <f>IF($W$6=1,1, IF(D110&gt;0,D110+1, 0))</f>
        <v>2</v>
      </c>
      <c r="F110" s="51">
        <f>IF($X$6=1,1, IF(E110&gt;0,E110+1, 0))</f>
        <v>3</v>
      </c>
      <c r="G110" s="51">
        <f>IF($Y$6=1,1, IF(F110&gt;0,F110+1, 0))</f>
        <v>4</v>
      </c>
      <c r="H110" s="134">
        <f>IF($Z$6=1,1, IF(G110&gt;0,G110+1, 0))</f>
        <v>5</v>
      </c>
      <c r="I110" s="53">
        <f>IF($AA$6=1,1, IF(H110&gt;0,H110+1, 0))</f>
        <v>6</v>
      </c>
      <c r="J110" s="54">
        <f t="shared" ref="J110:AR110" si="22">IF(AND(I110&gt;0,I110&lt;31),I110+1,0)</f>
        <v>7</v>
      </c>
      <c r="K110" s="55">
        <f t="shared" si="22"/>
        <v>8</v>
      </c>
      <c r="L110" s="51">
        <f t="shared" si="22"/>
        <v>9</v>
      </c>
      <c r="M110" s="51">
        <f t="shared" si="22"/>
        <v>10</v>
      </c>
      <c r="N110" s="51">
        <f t="shared" si="22"/>
        <v>11</v>
      </c>
      <c r="O110" s="134">
        <f t="shared" si="22"/>
        <v>12</v>
      </c>
      <c r="P110" s="53">
        <f t="shared" si="22"/>
        <v>13</v>
      </c>
      <c r="Q110" s="107">
        <f t="shared" si="22"/>
        <v>14</v>
      </c>
      <c r="R110" s="50">
        <f t="shared" si="22"/>
        <v>15</v>
      </c>
      <c r="S110" s="51">
        <f t="shared" si="22"/>
        <v>16</v>
      </c>
      <c r="T110" s="51">
        <f t="shared" si="22"/>
        <v>17</v>
      </c>
      <c r="U110" s="51">
        <f t="shared" si="22"/>
        <v>18</v>
      </c>
      <c r="V110" s="134">
        <f t="shared" si="22"/>
        <v>19</v>
      </c>
      <c r="W110" s="53">
        <f t="shared" si="22"/>
        <v>20</v>
      </c>
      <c r="X110" s="54">
        <f t="shared" si="22"/>
        <v>21</v>
      </c>
      <c r="Y110" s="55">
        <f>IF(AND(X110&gt;0,X110&lt;31),X110+1,0)</f>
        <v>22</v>
      </c>
      <c r="Z110" s="51">
        <f t="shared" si="22"/>
        <v>23</v>
      </c>
      <c r="AA110" s="52">
        <f t="shared" si="22"/>
        <v>24</v>
      </c>
      <c r="AB110" s="51">
        <f t="shared" si="22"/>
        <v>25</v>
      </c>
      <c r="AC110" s="134">
        <f t="shared" si="22"/>
        <v>26</v>
      </c>
      <c r="AD110" s="53">
        <f t="shared" si="22"/>
        <v>27</v>
      </c>
      <c r="AE110" s="107">
        <f t="shared" si="22"/>
        <v>28</v>
      </c>
      <c r="AF110" s="50">
        <f t="shared" si="22"/>
        <v>29</v>
      </c>
      <c r="AG110" s="51">
        <f t="shared" si="22"/>
        <v>30</v>
      </c>
      <c r="AH110" s="51">
        <f t="shared" si="22"/>
        <v>31</v>
      </c>
      <c r="AI110" s="51">
        <f t="shared" si="22"/>
        <v>0</v>
      </c>
      <c r="AJ110" s="134">
        <f t="shared" si="22"/>
        <v>0</v>
      </c>
      <c r="AK110" s="53">
        <f t="shared" si="22"/>
        <v>0</v>
      </c>
      <c r="AL110" s="54">
        <f t="shared" si="22"/>
        <v>0</v>
      </c>
      <c r="AM110" s="55">
        <f t="shared" si="22"/>
        <v>0</v>
      </c>
      <c r="AN110" s="51">
        <f t="shared" si="22"/>
        <v>0</v>
      </c>
      <c r="AO110" s="51">
        <f t="shared" si="22"/>
        <v>0</v>
      </c>
      <c r="AP110" s="51">
        <f t="shared" si="22"/>
        <v>0</v>
      </c>
      <c r="AQ110" s="52">
        <f t="shared" si="22"/>
        <v>0</v>
      </c>
      <c r="AR110" s="56">
        <f t="shared" si="22"/>
        <v>0</v>
      </c>
    </row>
    <row r="111" spans="1:49" ht="18" customHeight="1" x14ac:dyDescent="0.25">
      <c r="A111" s="47"/>
      <c r="B111" s="109" t="str">
        <f>+$B$23</f>
        <v xml:space="preserve">Pedro </v>
      </c>
      <c r="C111" s="123"/>
      <c r="D111" s="114"/>
      <c r="E111" s="73"/>
      <c r="F111" s="73"/>
      <c r="G111" s="73"/>
      <c r="H111" s="85"/>
      <c r="I111" s="86"/>
      <c r="J111" s="87"/>
      <c r="K111" s="88"/>
      <c r="L111" s="73"/>
      <c r="M111" s="73"/>
      <c r="N111" s="73"/>
      <c r="O111" s="85"/>
      <c r="P111" s="86"/>
      <c r="Q111" s="113"/>
      <c r="R111" s="114"/>
      <c r="S111" s="73"/>
      <c r="T111" s="73"/>
      <c r="U111" s="73"/>
      <c r="V111" s="85"/>
      <c r="W111" s="86"/>
      <c r="X111" s="87"/>
      <c r="Y111" s="88"/>
      <c r="Z111" s="73"/>
      <c r="AA111" s="73"/>
      <c r="AB111" s="73"/>
      <c r="AC111" s="72"/>
      <c r="AD111" s="76"/>
      <c r="AE111" s="74"/>
      <c r="AF111" s="88"/>
      <c r="AG111" s="76"/>
      <c r="AH111" s="73"/>
      <c r="AI111" s="73"/>
      <c r="AJ111" s="72"/>
      <c r="AK111" s="76"/>
      <c r="AL111" s="74"/>
      <c r="AM111" s="66"/>
      <c r="AN111" s="60"/>
      <c r="AO111" s="60"/>
      <c r="AP111" s="60"/>
      <c r="AQ111" s="64"/>
      <c r="AR111" s="62"/>
      <c r="AS111" s="68">
        <f>COUNTIF($C111:$AH111,AS$21)</f>
        <v>0</v>
      </c>
      <c r="AT111" s="69">
        <f>COUNTIF($C111:$AH111,AT$21)</f>
        <v>0</v>
      </c>
      <c r="AU111" s="69">
        <f t="shared" ref="AU111:AW114" si="23">COUNTIF($C111:$AR111,AU$21)</f>
        <v>0</v>
      </c>
      <c r="AV111" s="70">
        <f t="shared" si="23"/>
        <v>0</v>
      </c>
      <c r="AW111" s="7">
        <f>COUNTIF($C111:$AR111,AW$21)</f>
        <v>0</v>
      </c>
    </row>
    <row r="112" spans="1:49" ht="18" customHeight="1" x14ac:dyDescent="0.25">
      <c r="A112" s="47"/>
      <c r="B112" s="57" t="str">
        <f>+$B$24</f>
        <v>Miguel</v>
      </c>
      <c r="C112" s="124"/>
      <c r="D112" s="114"/>
      <c r="E112" s="73"/>
      <c r="F112" s="73"/>
      <c r="G112" s="73"/>
      <c r="H112" s="85"/>
      <c r="I112" s="86"/>
      <c r="J112" s="87"/>
      <c r="K112" s="88"/>
      <c r="L112" s="73"/>
      <c r="M112" s="73"/>
      <c r="N112" s="61" t="s">
        <v>32</v>
      </c>
      <c r="O112" s="61" t="s">
        <v>32</v>
      </c>
      <c r="P112" s="86"/>
      <c r="Q112" s="113"/>
      <c r="R112" s="114"/>
      <c r="S112" s="73"/>
      <c r="T112" s="73"/>
      <c r="U112" s="73"/>
      <c r="V112" s="61" t="s">
        <v>32</v>
      </c>
      <c r="W112" s="86"/>
      <c r="X112" s="87"/>
      <c r="Y112" s="88"/>
      <c r="Z112" s="73"/>
      <c r="AA112" s="72"/>
      <c r="AB112" s="73"/>
      <c r="AC112" s="72"/>
      <c r="AD112" s="76"/>
      <c r="AE112" s="74"/>
      <c r="AF112" s="72"/>
      <c r="AG112" s="61" t="s">
        <v>32</v>
      </c>
      <c r="AH112" s="76"/>
      <c r="AI112" s="76"/>
      <c r="AJ112" s="76"/>
      <c r="AK112" s="76"/>
      <c r="AL112" s="74"/>
      <c r="AM112" s="72"/>
      <c r="AN112" s="72"/>
      <c r="AO112" s="72"/>
      <c r="AP112" s="72"/>
      <c r="AQ112" s="75"/>
      <c r="AR112" s="74"/>
      <c r="AS112" s="79">
        <f t="shared" ref="AS112:AT114" si="24">COUNTIF($C112:$AH112,AS$21)</f>
        <v>4</v>
      </c>
      <c r="AT112" s="80">
        <f t="shared" si="24"/>
        <v>0</v>
      </c>
      <c r="AU112" s="80">
        <f t="shared" si="23"/>
        <v>0</v>
      </c>
      <c r="AV112" s="81">
        <f t="shared" si="23"/>
        <v>0</v>
      </c>
      <c r="AW112" s="7">
        <f>COUNTIF($C112:$AR112,AW$21)</f>
        <v>0</v>
      </c>
    </row>
    <row r="113" spans="1:49" ht="18" customHeight="1" x14ac:dyDescent="0.25">
      <c r="A113" s="47"/>
      <c r="B113" s="57" t="str">
        <f>+$B$25</f>
        <v>Gichelson</v>
      </c>
      <c r="C113" s="124"/>
      <c r="D113" s="114"/>
      <c r="E113" s="73"/>
      <c r="F113" s="73"/>
      <c r="G113" s="73"/>
      <c r="H113" s="85"/>
      <c r="I113" s="86"/>
      <c r="J113" s="87"/>
      <c r="K113" s="88"/>
      <c r="L113" s="73"/>
      <c r="M113" s="73"/>
      <c r="N113" s="73"/>
      <c r="O113" s="85"/>
      <c r="P113" s="86"/>
      <c r="Q113" s="113"/>
      <c r="R113" s="114"/>
      <c r="S113" s="73"/>
      <c r="T113" s="73"/>
      <c r="U113" s="73"/>
      <c r="V113" s="73"/>
      <c r="W113" s="86"/>
      <c r="X113" s="87"/>
      <c r="Y113" s="88"/>
      <c r="Z113" s="73"/>
      <c r="AA113" s="72"/>
      <c r="AB113" s="73"/>
      <c r="AC113" s="72"/>
      <c r="AD113" s="76"/>
      <c r="AE113" s="74"/>
      <c r="AF113" s="72"/>
      <c r="AG113" s="61" t="s">
        <v>32</v>
      </c>
      <c r="AH113" s="72"/>
      <c r="AI113" s="85"/>
      <c r="AJ113" s="85"/>
      <c r="AK113" s="76"/>
      <c r="AL113" s="74"/>
      <c r="AM113" s="59"/>
      <c r="AN113" s="72"/>
      <c r="AO113" s="72"/>
      <c r="AP113" s="72"/>
      <c r="AQ113" s="75"/>
      <c r="AR113" s="74"/>
      <c r="AS113" s="79">
        <f t="shared" si="24"/>
        <v>1</v>
      </c>
      <c r="AT113" s="80">
        <f t="shared" si="24"/>
        <v>0</v>
      </c>
      <c r="AU113" s="80">
        <f t="shared" si="23"/>
        <v>0</v>
      </c>
      <c r="AV113" s="81">
        <f t="shared" si="23"/>
        <v>0</v>
      </c>
      <c r="AW113" s="7">
        <f t="shared" si="23"/>
        <v>0</v>
      </c>
    </row>
    <row r="114" spans="1:49" ht="18" customHeight="1" thickBot="1" x14ac:dyDescent="0.3">
      <c r="A114" s="47"/>
      <c r="B114" s="89"/>
      <c r="C114" s="133"/>
      <c r="D114" s="96"/>
      <c r="E114" s="95"/>
      <c r="F114" s="95"/>
      <c r="G114" s="95"/>
      <c r="H114" s="97"/>
      <c r="I114" s="94"/>
      <c r="J114" s="93"/>
      <c r="K114" s="98"/>
      <c r="L114" s="95"/>
      <c r="M114" s="95"/>
      <c r="N114" s="95"/>
      <c r="O114" s="97"/>
      <c r="P114" s="94"/>
      <c r="Q114" s="115"/>
      <c r="R114" s="96"/>
      <c r="S114" s="95"/>
      <c r="T114" s="95"/>
      <c r="U114" s="95"/>
      <c r="V114" s="97"/>
      <c r="W114" s="94"/>
      <c r="X114" s="93"/>
      <c r="Y114" s="91"/>
      <c r="Z114" s="92"/>
      <c r="AA114" s="92"/>
      <c r="AB114" s="92"/>
      <c r="AC114" s="92"/>
      <c r="AD114" s="94"/>
      <c r="AE114" s="115"/>
      <c r="AF114" s="91"/>
      <c r="AG114" s="92"/>
      <c r="AH114" s="92"/>
      <c r="AI114" s="92"/>
      <c r="AJ114" s="149"/>
      <c r="AK114" s="94"/>
      <c r="AL114" s="93"/>
      <c r="AM114" s="135"/>
      <c r="AN114" s="95"/>
      <c r="AO114" s="95"/>
      <c r="AP114" s="95"/>
      <c r="AQ114" s="97"/>
      <c r="AR114" s="93"/>
      <c r="AS114" s="100">
        <f t="shared" si="24"/>
        <v>0</v>
      </c>
      <c r="AT114" s="101">
        <f t="shared" si="24"/>
        <v>0</v>
      </c>
      <c r="AU114" s="101">
        <f t="shared" si="23"/>
        <v>0</v>
      </c>
      <c r="AV114" s="102">
        <f t="shared" si="23"/>
        <v>0</v>
      </c>
      <c r="AW114" s="7">
        <f t="shared" si="23"/>
        <v>0</v>
      </c>
    </row>
    <row r="115" spans="1:49" ht="18" customHeight="1" thickBot="1" x14ac:dyDescent="0.3">
      <c r="A115" s="47"/>
      <c r="B115" s="103"/>
      <c r="C115" s="25"/>
      <c r="D115" s="25"/>
      <c r="E115" s="25"/>
      <c r="F115" s="25"/>
      <c r="G115" s="25"/>
      <c r="H115" s="25"/>
      <c r="I115" s="25"/>
      <c r="J115" s="103"/>
      <c r="K115" s="103"/>
      <c r="L115" s="25"/>
      <c r="M115" s="25"/>
      <c r="N115" s="25"/>
      <c r="O115" s="25"/>
      <c r="P115" s="25"/>
      <c r="Q115" s="25"/>
      <c r="R115" s="25"/>
      <c r="S115" s="103"/>
      <c r="T115" s="103"/>
      <c r="U115" s="25"/>
      <c r="V115" s="25"/>
      <c r="W115" s="25"/>
      <c r="X115" s="25"/>
      <c r="Y115" s="25"/>
      <c r="Z115" s="25"/>
      <c r="AA115" s="25"/>
      <c r="AB115" s="25"/>
    </row>
    <row r="116" spans="1:49" x14ac:dyDescent="0.25">
      <c r="A116" s="164" t="s">
        <v>12</v>
      </c>
      <c r="B116" s="165"/>
      <c r="C116" s="165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7"/>
    </row>
    <row r="117" spans="1:49" x14ac:dyDescent="0.25">
      <c r="A117" s="132"/>
      <c r="C117" s="166">
        <f>DATE(I15,1,1)</f>
        <v>45658</v>
      </c>
      <c r="D117" s="166"/>
      <c r="E117" s="167" t="s">
        <v>48</v>
      </c>
      <c r="F117" s="167"/>
      <c r="G117" s="167"/>
      <c r="H117" s="167"/>
      <c r="I117" s="167"/>
      <c r="J117" s="138"/>
      <c r="K117" s="166">
        <f>DATE($I$15,5,1)</f>
        <v>45778</v>
      </c>
      <c r="L117" s="166"/>
      <c r="M117" s="167" t="s">
        <v>49</v>
      </c>
      <c r="N117" s="167"/>
      <c r="O117" s="167"/>
      <c r="P117" s="167"/>
      <c r="Q117" s="167"/>
      <c r="S117" s="166">
        <f>DATE($I$15,10,5)</f>
        <v>45935</v>
      </c>
      <c r="T117" s="166"/>
      <c r="U117" s="167" t="s">
        <v>50</v>
      </c>
      <c r="V117" s="167"/>
      <c r="W117" s="167"/>
      <c r="X117" s="167"/>
      <c r="Y117" s="167"/>
      <c r="AB117" s="139"/>
    </row>
    <row r="118" spans="1:49" x14ac:dyDescent="0.25">
      <c r="A118" s="132"/>
      <c r="C118" s="166">
        <f>D10</f>
        <v>45720</v>
      </c>
      <c r="D118" s="166"/>
      <c r="E118" s="167" t="s">
        <v>14</v>
      </c>
      <c r="F118" s="167"/>
      <c r="G118" s="167"/>
      <c r="H118" s="167"/>
      <c r="I118" s="167"/>
      <c r="J118" s="138"/>
      <c r="K118" s="166">
        <f>DATE($I$15,6,1)</f>
        <v>45809</v>
      </c>
      <c r="L118" s="166"/>
      <c r="M118" s="167" t="s">
        <v>51</v>
      </c>
      <c r="N118" s="167"/>
      <c r="O118" s="167"/>
      <c r="P118" s="167"/>
      <c r="Q118" s="167"/>
      <c r="S118" s="166">
        <f>DATE($I$15,11,1)</f>
        <v>45962</v>
      </c>
      <c r="T118" s="166"/>
      <c r="U118" s="167" t="s">
        <v>52</v>
      </c>
      <c r="V118" s="167"/>
      <c r="W118" s="167"/>
      <c r="X118" s="167"/>
      <c r="Y118" s="167"/>
      <c r="AB118" s="139"/>
    </row>
    <row r="119" spans="1:49" x14ac:dyDescent="0.25">
      <c r="A119" s="132"/>
      <c r="C119" s="166">
        <f>D12</f>
        <v>45765</v>
      </c>
      <c r="D119" s="166"/>
      <c r="E119" s="167" t="s">
        <v>53</v>
      </c>
      <c r="F119" s="167"/>
      <c r="G119" s="167"/>
      <c r="H119" s="167"/>
      <c r="I119" s="167"/>
      <c r="J119" s="138"/>
      <c r="K119" s="166">
        <f>DATE($I$15,6,10)</f>
        <v>45818</v>
      </c>
      <c r="L119" s="166"/>
      <c r="M119" s="167" t="s">
        <v>54</v>
      </c>
      <c r="N119" s="167"/>
      <c r="O119" s="167"/>
      <c r="P119" s="167"/>
      <c r="Q119" s="167"/>
      <c r="S119" s="166">
        <f>DATE($I$15,12,1)</f>
        <v>45992</v>
      </c>
      <c r="T119" s="166"/>
      <c r="U119" s="167" t="s">
        <v>55</v>
      </c>
      <c r="V119" s="167"/>
      <c r="W119" s="167"/>
      <c r="X119" s="167"/>
      <c r="Y119" s="167"/>
      <c r="Z119" s="167"/>
      <c r="AB119" s="139"/>
    </row>
    <row r="120" spans="1:49" x14ac:dyDescent="0.25">
      <c r="A120" s="132"/>
      <c r="C120" s="166">
        <f>D9</f>
        <v>45767</v>
      </c>
      <c r="D120" s="166"/>
      <c r="E120" s="167" t="s">
        <v>13</v>
      </c>
      <c r="F120" s="167"/>
      <c r="G120" s="167"/>
      <c r="H120" s="167"/>
      <c r="I120" s="167"/>
      <c r="J120" s="138"/>
      <c r="K120" s="166">
        <f>D13</f>
        <v>45827</v>
      </c>
      <c r="L120" s="166"/>
      <c r="M120" s="167" t="s">
        <v>56</v>
      </c>
      <c r="N120" s="167"/>
      <c r="O120" s="167"/>
      <c r="P120" s="167"/>
      <c r="Q120" s="167"/>
      <c r="S120" s="166">
        <f>DATE($I$15,12,8)</f>
        <v>45999</v>
      </c>
      <c r="T120" s="166"/>
      <c r="U120" s="167" t="s">
        <v>57</v>
      </c>
      <c r="V120" s="167"/>
      <c r="W120" s="167"/>
      <c r="X120" s="167"/>
      <c r="Y120" s="167"/>
      <c r="AB120" s="139"/>
    </row>
    <row r="121" spans="1:49" ht="13.5" thickBot="1" x14ac:dyDescent="0.3">
      <c r="A121" s="140"/>
      <c r="B121" s="105"/>
      <c r="C121" s="168">
        <f>DATE(I15,4,25)</f>
        <v>45772</v>
      </c>
      <c r="D121" s="168"/>
      <c r="E121" s="169" t="s">
        <v>58</v>
      </c>
      <c r="F121" s="169"/>
      <c r="G121" s="169"/>
      <c r="H121" s="169"/>
      <c r="I121" s="169"/>
      <c r="J121" s="141"/>
      <c r="K121" s="168">
        <f>DATE($I$15,8,15)</f>
        <v>45884</v>
      </c>
      <c r="L121" s="168"/>
      <c r="M121" s="169" t="s">
        <v>59</v>
      </c>
      <c r="N121" s="169"/>
      <c r="O121" s="169"/>
      <c r="P121" s="169"/>
      <c r="Q121" s="169"/>
      <c r="R121" s="105"/>
      <c r="S121" s="168">
        <f>DATE($I$15,12,25)</f>
        <v>46016</v>
      </c>
      <c r="T121" s="168"/>
      <c r="U121" s="169" t="s">
        <v>60</v>
      </c>
      <c r="V121" s="169"/>
      <c r="W121" s="169"/>
      <c r="X121" s="169"/>
      <c r="Y121" s="169"/>
      <c r="Z121" s="105"/>
      <c r="AA121" s="105"/>
      <c r="AB121" s="142"/>
    </row>
    <row r="122" spans="1:49" ht="13.5" thickBot="1" x14ac:dyDescent="0.3"/>
    <row r="123" spans="1:49" x14ac:dyDescent="0.25">
      <c r="B123" s="164" t="s">
        <v>80</v>
      </c>
      <c r="C123" s="165"/>
      <c r="D123" s="165"/>
      <c r="E123" s="165"/>
      <c r="F123" s="165"/>
      <c r="G123" s="165"/>
      <c r="H123" s="165"/>
      <c r="I123" s="165"/>
      <c r="J123" s="165"/>
      <c r="K123" s="165"/>
      <c r="L123" s="170"/>
      <c r="O123" s="164" t="s">
        <v>81</v>
      </c>
      <c r="P123" s="165"/>
      <c r="Q123" s="165"/>
      <c r="R123" s="165"/>
      <c r="S123" s="165"/>
      <c r="T123" s="165"/>
      <c r="U123" s="165"/>
      <c r="V123" s="165"/>
      <c r="W123" s="165"/>
      <c r="X123" s="170"/>
      <c r="Z123" s="164" t="s">
        <v>82</v>
      </c>
      <c r="AA123" s="165"/>
      <c r="AB123" s="165"/>
      <c r="AC123" s="165"/>
      <c r="AD123" s="165"/>
      <c r="AE123" s="165"/>
      <c r="AF123" s="165"/>
      <c r="AG123" s="165"/>
      <c r="AH123" s="165"/>
      <c r="AI123" s="170"/>
      <c r="AK123" s="164"/>
      <c r="AL123" s="165"/>
      <c r="AM123" s="165"/>
      <c r="AN123" s="165"/>
      <c r="AO123" s="165"/>
      <c r="AP123" s="165"/>
      <c r="AQ123" s="165"/>
      <c r="AR123" s="165"/>
      <c r="AS123" s="165"/>
      <c r="AT123" s="170"/>
    </row>
    <row r="124" spans="1:49" ht="13.5" thickBot="1" x14ac:dyDescent="0.3">
      <c r="B124" s="140"/>
      <c r="C124" s="105"/>
      <c r="D124" s="105"/>
      <c r="E124" s="105"/>
      <c r="F124" s="105"/>
      <c r="G124" s="105"/>
      <c r="H124" s="105"/>
      <c r="I124" s="105"/>
      <c r="J124" s="105"/>
      <c r="K124" s="105"/>
      <c r="L124" s="142"/>
      <c r="O124" s="140"/>
      <c r="P124" s="105"/>
      <c r="Q124" s="105"/>
      <c r="R124" s="105"/>
      <c r="S124" s="105"/>
      <c r="T124" s="105"/>
      <c r="U124" s="105"/>
      <c r="V124" s="105"/>
      <c r="W124" s="105"/>
      <c r="X124" s="142"/>
      <c r="Z124" s="140"/>
      <c r="AA124" s="105"/>
      <c r="AB124" s="105"/>
      <c r="AC124" s="105"/>
      <c r="AD124" s="105"/>
      <c r="AE124" s="105"/>
      <c r="AF124" s="105"/>
      <c r="AG124" s="105"/>
      <c r="AH124" s="105"/>
      <c r="AI124" s="142"/>
      <c r="AK124" s="140"/>
      <c r="AL124" s="105"/>
      <c r="AM124" s="105"/>
      <c r="AN124" s="105"/>
      <c r="AO124" s="105"/>
      <c r="AP124" s="105"/>
      <c r="AQ124" s="105"/>
      <c r="AR124" s="105"/>
      <c r="AS124" s="105"/>
      <c r="AT124" s="142"/>
    </row>
    <row r="125" spans="1:49" x14ac:dyDescent="0.25">
      <c r="B125" s="171"/>
      <c r="C125" s="173" t="s">
        <v>62</v>
      </c>
      <c r="D125" s="174"/>
      <c r="E125" s="154"/>
      <c r="F125" s="154"/>
      <c r="G125" s="154"/>
      <c r="H125" s="154"/>
      <c r="I125" s="154"/>
      <c r="J125" s="154"/>
      <c r="K125" s="154"/>
      <c r="L125" s="155"/>
      <c r="O125" s="185" t="str">
        <f t="shared" ref="O125" si="25">C125</f>
        <v>Ferias 25</v>
      </c>
      <c r="P125" s="186"/>
      <c r="Q125" s="182"/>
      <c r="R125" s="183"/>
      <c r="S125" s="182"/>
      <c r="T125" s="183"/>
      <c r="U125" s="187"/>
      <c r="V125" s="188"/>
      <c r="W125" s="189" t="s">
        <v>63</v>
      </c>
      <c r="X125" s="188"/>
      <c r="Z125" s="185" t="str">
        <f>+C125</f>
        <v>Ferias 25</v>
      </c>
      <c r="AA125" s="186"/>
      <c r="AB125" s="182"/>
      <c r="AC125" s="183"/>
      <c r="AD125" s="182"/>
      <c r="AE125" s="183"/>
      <c r="AF125" s="183"/>
      <c r="AG125" s="184"/>
      <c r="AH125" s="183" t="s">
        <v>63</v>
      </c>
      <c r="AI125" s="184"/>
      <c r="AK125" s="173"/>
      <c r="AL125" s="174"/>
      <c r="AM125" s="175"/>
      <c r="AN125" s="176"/>
      <c r="AO125" s="175"/>
      <c r="AP125" s="176"/>
      <c r="AQ125" s="176"/>
      <c r="AR125" s="177"/>
      <c r="AS125" s="176"/>
      <c r="AT125" s="177"/>
    </row>
    <row r="126" spans="1:49" ht="13.5" thickBot="1" x14ac:dyDescent="0.3">
      <c r="B126" s="172"/>
      <c r="C126" s="178" t="s">
        <v>32</v>
      </c>
      <c r="D126" s="179"/>
      <c r="E126" s="156"/>
      <c r="F126" s="156"/>
      <c r="G126" s="156"/>
      <c r="H126" s="156"/>
      <c r="I126" s="156"/>
      <c r="J126" s="156"/>
      <c r="K126" s="156"/>
      <c r="L126" s="157"/>
      <c r="O126" s="180" t="str">
        <f>+C126</f>
        <v>F25</v>
      </c>
      <c r="P126" s="181"/>
      <c r="Q126" s="178"/>
      <c r="R126" s="179"/>
      <c r="S126" s="178"/>
      <c r="T126" s="179"/>
      <c r="U126" s="199"/>
      <c r="V126" s="200"/>
      <c r="W126" s="201"/>
      <c r="X126" s="200"/>
      <c r="Z126" s="180" t="str">
        <f>+C126</f>
        <v>F25</v>
      </c>
      <c r="AA126" s="181"/>
      <c r="AB126" s="178"/>
      <c r="AC126" s="179"/>
      <c r="AD126" s="178"/>
      <c r="AE126" s="179"/>
      <c r="AF126" s="179"/>
      <c r="AG126" s="190"/>
      <c r="AH126" s="179"/>
      <c r="AI126" s="190"/>
      <c r="AK126" s="198"/>
      <c r="AL126" s="181"/>
      <c r="AM126" s="178"/>
      <c r="AN126" s="179"/>
      <c r="AO126" s="178"/>
      <c r="AP126" s="179"/>
      <c r="AQ126" s="179"/>
      <c r="AR126" s="190"/>
      <c r="AS126" s="179"/>
      <c r="AT126" s="190"/>
    </row>
    <row r="127" spans="1:49" ht="13.5" thickBot="1" x14ac:dyDescent="0.3">
      <c r="B127" s="143" t="str">
        <f>+$B$23</f>
        <v xml:space="preserve">Pedro </v>
      </c>
      <c r="C127" s="187">
        <f>SUM(AS23,AS31,AS39,AS47,AS55,AS63,AS71,AS79,AS87,AS95,AS103,AS111)</f>
        <v>22</v>
      </c>
      <c r="D127" s="191"/>
      <c r="E127" s="156"/>
      <c r="F127" s="156"/>
      <c r="G127" s="156"/>
      <c r="H127" s="156"/>
      <c r="I127" s="156"/>
      <c r="J127" s="156"/>
      <c r="K127" s="156"/>
      <c r="L127" s="157"/>
      <c r="O127" s="192">
        <v>22</v>
      </c>
      <c r="P127" s="174"/>
      <c r="Q127" s="193"/>
      <c r="R127" s="194"/>
      <c r="S127" s="187"/>
      <c r="T127" s="195"/>
      <c r="U127" s="196"/>
      <c r="V127" s="197"/>
      <c r="W127" s="189">
        <f t="shared" ref="W127" si="26">SUM(O127:V127)</f>
        <v>22</v>
      </c>
      <c r="X127" s="188"/>
      <c r="Z127" s="192">
        <f>O127-C127</f>
        <v>0</v>
      </c>
      <c r="AA127" s="174"/>
      <c r="AB127" s="175"/>
      <c r="AC127" s="176"/>
      <c r="AD127" s="175"/>
      <c r="AE127" s="176"/>
      <c r="AF127" s="176"/>
      <c r="AG127" s="177"/>
      <c r="AH127" s="185">
        <f t="shared" ref="AH127" si="27">SUM(Z127:AG127)</f>
        <v>0</v>
      </c>
      <c r="AI127" s="184"/>
      <c r="AK127" s="189"/>
      <c r="AL127" s="191"/>
      <c r="AM127" s="182"/>
      <c r="AN127" s="183"/>
      <c r="AO127" s="182"/>
      <c r="AP127" s="183"/>
      <c r="AQ127" s="183"/>
      <c r="AR127" s="184"/>
      <c r="AS127" s="185"/>
      <c r="AT127" s="184"/>
    </row>
    <row r="128" spans="1:49" ht="13.5" thickBot="1" x14ac:dyDescent="0.3">
      <c r="B128" s="144" t="str">
        <f>+$B$24</f>
        <v>Miguel</v>
      </c>
      <c r="C128" s="187">
        <f>SUM(AS24,AS32,AS40,AS48,AS56,AS64,AS72,AS80,AS88,AS96,AS104,AS112)</f>
        <v>12</v>
      </c>
      <c r="D128" s="191"/>
      <c r="E128" s="156"/>
      <c r="F128" s="156"/>
      <c r="G128" s="156"/>
      <c r="H128" s="156"/>
      <c r="I128" s="156"/>
      <c r="J128" s="156"/>
      <c r="K128" s="156"/>
      <c r="L128" s="157"/>
      <c r="O128" s="204">
        <v>20</v>
      </c>
      <c r="P128" s="205"/>
      <c r="Q128" s="196"/>
      <c r="R128" s="202"/>
      <c r="S128" s="196"/>
      <c r="T128" s="202"/>
      <c r="U128" s="196"/>
      <c r="V128" s="197"/>
      <c r="W128" s="189">
        <f t="shared" ref="W128:W129" si="28">SUM(O128:V128)</f>
        <v>20</v>
      </c>
      <c r="X128" s="188"/>
      <c r="Z128" s="192">
        <f>O128-C128</f>
        <v>8</v>
      </c>
      <c r="AA128" s="174"/>
      <c r="AB128" s="193"/>
      <c r="AC128" s="194"/>
      <c r="AD128" s="193"/>
      <c r="AE128" s="194"/>
      <c r="AF128" s="194"/>
      <c r="AG128" s="203"/>
      <c r="AH128" s="185">
        <f t="shared" ref="AH128:AH129" si="29">SUM(Z128:AG128)</f>
        <v>8</v>
      </c>
      <c r="AI128" s="184"/>
      <c r="AK128" s="206"/>
      <c r="AL128" s="207"/>
      <c r="AM128" s="208"/>
      <c r="AN128" s="202"/>
      <c r="AO128" s="196"/>
      <c r="AP128" s="202"/>
      <c r="AQ128" s="194"/>
      <c r="AR128" s="203"/>
      <c r="AS128" s="192"/>
      <c r="AT128" s="177"/>
    </row>
    <row r="129" spans="2:46" ht="13.5" thickBot="1" x14ac:dyDescent="0.3">
      <c r="B129" s="144" t="str">
        <f>+$B$25</f>
        <v>Gichelson</v>
      </c>
      <c r="C129" s="187">
        <f t="shared" ref="C128:C129" si="30">SUM(AS25,AS33,AS41,AS49,AS57,AS65,AS73,AS81,AS89,AS97,AS105,AS113)</f>
        <v>1</v>
      </c>
      <c r="D129" s="191"/>
      <c r="E129" s="156"/>
      <c r="F129" s="156"/>
      <c r="G129" s="156"/>
      <c r="H129" s="156"/>
      <c r="I129" s="156"/>
      <c r="J129" s="156"/>
      <c r="K129" s="156"/>
      <c r="L129" s="157"/>
      <c r="O129" s="204">
        <v>2</v>
      </c>
      <c r="P129" s="205"/>
      <c r="Q129" s="196"/>
      <c r="R129" s="202"/>
      <c r="S129" s="196"/>
      <c r="T129" s="202"/>
      <c r="U129" s="196"/>
      <c r="V129" s="197"/>
      <c r="W129" s="189">
        <f t="shared" si="28"/>
        <v>2</v>
      </c>
      <c r="X129" s="188"/>
      <c r="Z129" s="192">
        <f t="shared" ref="Z128:Z129" si="31">O129-C129</f>
        <v>1</v>
      </c>
      <c r="AA129" s="174"/>
      <c r="AB129" s="193"/>
      <c r="AC129" s="194"/>
      <c r="AD129" s="193"/>
      <c r="AE129" s="194"/>
      <c r="AF129" s="194"/>
      <c r="AG129" s="203"/>
      <c r="AH129" s="185">
        <f t="shared" si="29"/>
        <v>1</v>
      </c>
      <c r="AI129" s="184"/>
      <c r="AK129" s="206"/>
      <c r="AL129" s="207"/>
      <c r="AM129" s="208"/>
      <c r="AN129" s="202"/>
      <c r="AO129" s="196"/>
      <c r="AP129" s="202"/>
      <c r="AQ129" s="194"/>
      <c r="AR129" s="203"/>
      <c r="AS129" s="192"/>
      <c r="AT129" s="177"/>
    </row>
    <row r="130" spans="2:46" ht="13.5" thickBot="1" x14ac:dyDescent="0.3">
      <c r="B130" s="145"/>
      <c r="C130" s="187"/>
      <c r="D130" s="191"/>
      <c r="E130" s="158"/>
      <c r="F130" s="158"/>
      <c r="G130" s="158"/>
      <c r="H130" s="158"/>
      <c r="I130" s="158"/>
      <c r="J130" s="158"/>
      <c r="K130" s="158"/>
      <c r="L130" s="159"/>
      <c r="O130" s="180"/>
      <c r="P130" s="181"/>
      <c r="Q130" s="178"/>
      <c r="R130" s="179"/>
      <c r="S130" s="178"/>
      <c r="T130" s="179"/>
      <c r="U130" s="199"/>
      <c r="V130" s="200"/>
      <c r="W130" s="201"/>
      <c r="X130" s="200"/>
      <c r="Z130" s="180"/>
      <c r="AA130" s="181"/>
      <c r="AB130" s="178"/>
      <c r="AC130" s="179"/>
      <c r="AD130" s="178"/>
      <c r="AE130" s="179"/>
      <c r="AF130" s="179"/>
      <c r="AG130" s="190"/>
      <c r="AH130" s="172"/>
      <c r="AI130" s="209"/>
      <c r="AK130" s="201"/>
      <c r="AL130" s="210"/>
      <c r="AM130" s="211"/>
      <c r="AN130" s="198"/>
      <c r="AO130" s="199"/>
      <c r="AP130" s="198"/>
      <c r="AQ130" s="179"/>
      <c r="AR130" s="190"/>
      <c r="AS130" s="172"/>
      <c r="AT130" s="209"/>
    </row>
    <row r="132" spans="2:46" x14ac:dyDescent="0.25">
      <c r="B132" s="146" t="s">
        <v>64</v>
      </c>
    </row>
    <row r="133" spans="2:46" x14ac:dyDescent="0.25">
      <c r="B133" s="7" t="s">
        <v>65</v>
      </c>
      <c r="C133" s="138" t="s">
        <v>66</v>
      </c>
      <c r="I133" s="147"/>
      <c r="K133" s="7" t="s">
        <v>67</v>
      </c>
    </row>
    <row r="134" spans="2:46" x14ac:dyDescent="0.25">
      <c r="B134" s="7" t="s">
        <v>32</v>
      </c>
      <c r="C134" s="138" t="s">
        <v>68</v>
      </c>
      <c r="I134" s="148"/>
      <c r="K134" s="7" t="s">
        <v>69</v>
      </c>
    </row>
    <row r="135" spans="2:46" x14ac:dyDescent="0.25">
      <c r="B135" s="7" t="s">
        <v>34</v>
      </c>
      <c r="C135" s="138" t="s">
        <v>70</v>
      </c>
    </row>
    <row r="136" spans="2:46" x14ac:dyDescent="0.25">
      <c r="B136" s="7" t="s">
        <v>71</v>
      </c>
      <c r="C136" s="138" t="s">
        <v>72</v>
      </c>
    </row>
    <row r="137" spans="2:46" x14ac:dyDescent="0.25">
      <c r="B137" s="7" t="s">
        <v>37</v>
      </c>
      <c r="C137" s="138" t="s">
        <v>73</v>
      </c>
    </row>
    <row r="138" spans="2:46" x14ac:dyDescent="0.25">
      <c r="B138" s="7" t="s">
        <v>35</v>
      </c>
      <c r="C138" s="138" t="s">
        <v>74</v>
      </c>
    </row>
    <row r="139" spans="2:46" x14ac:dyDescent="0.25">
      <c r="B139" s="7" t="s">
        <v>33</v>
      </c>
      <c r="C139" s="138" t="s">
        <v>75</v>
      </c>
    </row>
    <row r="140" spans="2:46" x14ac:dyDescent="0.25">
      <c r="C140" s="138"/>
    </row>
  </sheetData>
  <mergeCells count="159">
    <mergeCell ref="U129:V129"/>
    <mergeCell ref="W129:X129"/>
    <mergeCell ref="Z129:AA129"/>
    <mergeCell ref="AB129:AC129"/>
    <mergeCell ref="AD129:AE129"/>
    <mergeCell ref="C130:D130"/>
    <mergeCell ref="O130:P130"/>
    <mergeCell ref="Q130:R130"/>
    <mergeCell ref="AS130:AT130"/>
    <mergeCell ref="AF130:AG130"/>
    <mergeCell ref="AH130:AI130"/>
    <mergeCell ref="AK130:AL130"/>
    <mergeCell ref="AM130:AN130"/>
    <mergeCell ref="AO130:AP130"/>
    <mergeCell ref="AQ130:AR130"/>
    <mergeCell ref="S130:T130"/>
    <mergeCell ref="U130:V130"/>
    <mergeCell ref="W130:X130"/>
    <mergeCell ref="Z130:AA130"/>
    <mergeCell ref="AB130:AC130"/>
    <mergeCell ref="AD130:AE130"/>
    <mergeCell ref="AS128:AT128"/>
    <mergeCell ref="C129:D129"/>
    <mergeCell ref="O129:P129"/>
    <mergeCell ref="Q129:R129"/>
    <mergeCell ref="AB128:AC128"/>
    <mergeCell ref="AD128:AE128"/>
    <mergeCell ref="AF128:AG128"/>
    <mergeCell ref="AH128:AI128"/>
    <mergeCell ref="AK128:AL128"/>
    <mergeCell ref="AM128:AN128"/>
    <mergeCell ref="O128:P128"/>
    <mergeCell ref="Q128:R128"/>
    <mergeCell ref="S128:T128"/>
    <mergeCell ref="U128:V128"/>
    <mergeCell ref="W128:X128"/>
    <mergeCell ref="Z128:AA128"/>
    <mergeCell ref="AS129:AT129"/>
    <mergeCell ref="AF129:AG129"/>
    <mergeCell ref="AH129:AI129"/>
    <mergeCell ref="AK129:AL129"/>
    <mergeCell ref="AM129:AN129"/>
    <mergeCell ref="AO129:AP129"/>
    <mergeCell ref="AQ129:AR129"/>
    <mergeCell ref="S129:T129"/>
    <mergeCell ref="C128:D128"/>
    <mergeCell ref="W127:X127"/>
    <mergeCell ref="Z127:AA127"/>
    <mergeCell ref="AB127:AC127"/>
    <mergeCell ref="AD127:AE127"/>
    <mergeCell ref="AF127:AG127"/>
    <mergeCell ref="AH127:AI127"/>
    <mergeCell ref="AO128:AP128"/>
    <mergeCell ref="AQ128:AR128"/>
    <mergeCell ref="AS126:AT126"/>
    <mergeCell ref="C127:D127"/>
    <mergeCell ref="O127:P127"/>
    <mergeCell ref="Q127:R127"/>
    <mergeCell ref="S127:T127"/>
    <mergeCell ref="U127:V127"/>
    <mergeCell ref="AF126:AG126"/>
    <mergeCell ref="AH126:AI126"/>
    <mergeCell ref="AK126:AL126"/>
    <mergeCell ref="AM126:AN126"/>
    <mergeCell ref="AO126:AP126"/>
    <mergeCell ref="AQ126:AR126"/>
    <mergeCell ref="S126:T126"/>
    <mergeCell ref="U126:V126"/>
    <mergeCell ref="W126:X126"/>
    <mergeCell ref="Z126:AA126"/>
    <mergeCell ref="AB126:AC126"/>
    <mergeCell ref="AD126:AE126"/>
    <mergeCell ref="AK127:AL127"/>
    <mergeCell ref="AM127:AN127"/>
    <mergeCell ref="AO127:AP127"/>
    <mergeCell ref="AQ127:AR127"/>
    <mergeCell ref="AS127:AT127"/>
    <mergeCell ref="B123:L123"/>
    <mergeCell ref="O123:X123"/>
    <mergeCell ref="Z123:AI123"/>
    <mergeCell ref="AK123:AT123"/>
    <mergeCell ref="B125:B126"/>
    <mergeCell ref="C125:D125"/>
    <mergeCell ref="AO125:AP125"/>
    <mergeCell ref="AQ125:AR125"/>
    <mergeCell ref="AS125:AT125"/>
    <mergeCell ref="C126:D126"/>
    <mergeCell ref="O126:P126"/>
    <mergeCell ref="Q126:R126"/>
    <mergeCell ref="AB125:AC125"/>
    <mergeCell ref="AD125:AE125"/>
    <mergeCell ref="AF125:AG125"/>
    <mergeCell ref="AH125:AI125"/>
    <mergeCell ref="AK125:AL125"/>
    <mergeCell ref="AM125:AN125"/>
    <mergeCell ref="O125:P125"/>
    <mergeCell ref="Q125:R125"/>
    <mergeCell ref="S125:T125"/>
    <mergeCell ref="U125:V125"/>
    <mergeCell ref="W125:X125"/>
    <mergeCell ref="Z125:AA125"/>
    <mergeCell ref="C121:D121"/>
    <mergeCell ref="E121:I121"/>
    <mergeCell ref="K121:L121"/>
    <mergeCell ref="M121:Q121"/>
    <mergeCell ref="S121:T121"/>
    <mergeCell ref="U121:Y121"/>
    <mergeCell ref="C120:D120"/>
    <mergeCell ref="E120:I120"/>
    <mergeCell ref="K120:L120"/>
    <mergeCell ref="M120:Q120"/>
    <mergeCell ref="S120:T120"/>
    <mergeCell ref="U120:Y120"/>
    <mergeCell ref="S119:T119"/>
    <mergeCell ref="U119:Z119"/>
    <mergeCell ref="S117:T117"/>
    <mergeCell ref="U117:Y117"/>
    <mergeCell ref="C118:D118"/>
    <mergeCell ref="E118:I118"/>
    <mergeCell ref="K118:L118"/>
    <mergeCell ref="M118:Q118"/>
    <mergeCell ref="S118:T118"/>
    <mergeCell ref="U118:Y118"/>
    <mergeCell ref="K117:L117"/>
    <mergeCell ref="M117:Q117"/>
    <mergeCell ref="M119:Q119"/>
    <mergeCell ref="B60:I60"/>
    <mergeCell ref="B68:I68"/>
    <mergeCell ref="B76:I76"/>
    <mergeCell ref="B84:I84"/>
    <mergeCell ref="B92:I92"/>
    <mergeCell ref="B100:I100"/>
    <mergeCell ref="C119:D119"/>
    <mergeCell ref="E119:I119"/>
    <mergeCell ref="K119:L119"/>
    <mergeCell ref="A8:B8"/>
    <mergeCell ref="A9:C9"/>
    <mergeCell ref="D9:F9"/>
    <mergeCell ref="A10:C10"/>
    <mergeCell ref="D10:F10"/>
    <mergeCell ref="A11:C11"/>
    <mergeCell ref="D11:F11"/>
    <mergeCell ref="E125:L130"/>
    <mergeCell ref="P18:Q18"/>
    <mergeCell ref="B20:I20"/>
    <mergeCell ref="B28:I28"/>
    <mergeCell ref="B36:I36"/>
    <mergeCell ref="B44:I44"/>
    <mergeCell ref="B52:I52"/>
    <mergeCell ref="A12:C12"/>
    <mergeCell ref="D12:F12"/>
    <mergeCell ref="A13:C13"/>
    <mergeCell ref="D13:F13"/>
    <mergeCell ref="I15:K15"/>
    <mergeCell ref="J18:O18"/>
    <mergeCell ref="B108:I108"/>
    <mergeCell ref="A116:C116"/>
    <mergeCell ref="C117:D117"/>
    <mergeCell ref="E117:I117"/>
  </mergeCells>
  <conditionalFormatting sqref="C127:C130">
    <cfRule type="cellIs" dxfId="253" priority="242" stopIfTrue="1" operator="greaterThan">
      <formula>O127</formula>
    </cfRule>
  </conditionalFormatting>
  <conditionalFormatting sqref="C56:D57">
    <cfRule type="cellIs" dxfId="252" priority="296" stopIfTrue="1" operator="equal">
      <formula>1</formula>
    </cfRule>
  </conditionalFormatting>
  <conditionalFormatting sqref="C50:F50 H50:J50">
    <cfRule type="cellIs" dxfId="251" priority="257" stopIfTrue="1" operator="equal">
      <formula>IF(MONTH($D$12)=4,DAY($D$12),-1)</formula>
    </cfRule>
    <cfRule type="cellIs" dxfId="250" priority="255" stopIfTrue="1" operator="equal">
      <formula>25</formula>
    </cfRule>
    <cfRule type="cellIs" dxfId="249" priority="256" stopIfTrue="1" operator="equal">
      <formula>IF(MONTH($D$9)=4,DAY($D$9),-1)</formula>
    </cfRule>
  </conditionalFormatting>
  <conditionalFormatting sqref="C22:I22">
    <cfRule type="cellIs" dxfId="248" priority="309" stopIfTrue="1" operator="equal">
      <formula>1</formula>
    </cfRule>
  </conditionalFormatting>
  <conditionalFormatting sqref="C102:I102">
    <cfRule type="cellIs" dxfId="247" priority="312" stopIfTrue="1" operator="equal">
      <formula>1</formula>
    </cfRule>
  </conditionalFormatting>
  <conditionalFormatting sqref="C110:I110">
    <cfRule type="cellIs" dxfId="246" priority="313" stopIfTrue="1" operator="equal">
      <formula>1</formula>
    </cfRule>
  </conditionalFormatting>
  <conditionalFormatting sqref="C31:K33">
    <cfRule type="cellIs" dxfId="245" priority="223" stopIfTrue="1" operator="equal">
      <formula>IF(MONTH($D$10)=2,DAY($D$10),-1)</formula>
    </cfRule>
  </conditionalFormatting>
  <conditionalFormatting sqref="C72:K73">
    <cfRule type="cellIs" dxfId="244" priority="187" stopIfTrue="1" operator="equal">
      <formula>IF(MONTH($D$13)=7,DAY($D$13),-1)</formula>
    </cfRule>
  </conditionalFormatting>
  <conditionalFormatting sqref="C94:P94">
    <cfRule type="cellIs" dxfId="243" priority="311" stopIfTrue="1" operator="equal">
      <formula>5</formula>
    </cfRule>
  </conditionalFormatting>
  <conditionalFormatting sqref="C34:Q34">
    <cfRule type="cellIs" dxfId="242" priority="222" stopIfTrue="1" operator="equal">
      <formula>IF(MONTH($D$10)=2,DAY($D$10),-1)</formula>
    </cfRule>
  </conditionalFormatting>
  <conditionalFormatting sqref="C65:T65">
    <cfRule type="cellIs" dxfId="241" priority="56" stopIfTrue="1" operator="equal">
      <formula>IF(MONTH($D$13)=6,DAY($D$13),-1)</formula>
    </cfRule>
    <cfRule type="cellIs" dxfId="240" priority="54" stopIfTrue="1" operator="equal">
      <formula>10</formula>
    </cfRule>
    <cfRule type="cellIs" dxfId="239" priority="55" stopIfTrue="1" operator="equal">
      <formula>1</formula>
    </cfRule>
  </conditionalFormatting>
  <conditionalFormatting sqref="C47:X47">
    <cfRule type="cellIs" dxfId="238" priority="164" stopIfTrue="1" operator="equal">
      <formula>IF(MONTH($D$12)=4,DAY($D$12),-1)</formula>
    </cfRule>
    <cfRule type="cellIs" dxfId="237" priority="162" stopIfTrue="1" operator="equal">
      <formula>25</formula>
    </cfRule>
    <cfRule type="cellIs" dxfId="236" priority="163" stopIfTrue="1" operator="equal">
      <formula>IF(MONTH($D$9)=4,DAY($D$9),-1)</formula>
    </cfRule>
  </conditionalFormatting>
  <conditionalFormatting sqref="C64:AA64">
    <cfRule type="cellIs" dxfId="235" priority="50" stopIfTrue="1" operator="equal">
      <formula>10</formula>
    </cfRule>
    <cfRule type="cellIs" dxfId="234" priority="51" stopIfTrue="1" operator="equal">
      <formula>1</formula>
    </cfRule>
    <cfRule type="cellIs" dxfId="233" priority="52" stopIfTrue="1" operator="equal">
      <formula>IF(MONTH($D$13)=6,DAY($D$13),-1)</formula>
    </cfRule>
  </conditionalFormatting>
  <conditionalFormatting sqref="C30:AK30 S32:AE32 AG32:AK32 M33:AE33 AG33:AH33 AJ33:AK33 S34:U34 W34:X34 Z34:AK34">
    <cfRule type="cellIs" dxfId="232" priority="362" stopIfTrue="1" operator="equal">
      <formula>IF(MONTH($D$10)=2,DAY($D$10),-1)</formula>
    </cfRule>
  </conditionalFormatting>
  <conditionalFormatting sqref="C46:AK46 AB47 AD47:AK47 AC48:AD48 C48:AB49 L50:X50 Z50:AE50 X111:X114">
    <cfRule type="cellIs" dxfId="231" priority="359" stopIfTrue="1" operator="equal">
      <formula>25</formula>
    </cfRule>
  </conditionalFormatting>
  <conditionalFormatting sqref="C46:AK46 AB47 AD47:AK47 AC48:AD48 C48:AB49 L50:X50 Z50:AE50">
    <cfRule type="cellIs" dxfId="230" priority="361" stopIfTrue="1" operator="equal">
      <formula>IF(MONTH($D$12)=4,DAY($D$12),-1)</formula>
    </cfRule>
    <cfRule type="cellIs" dxfId="229" priority="360" stopIfTrue="1" operator="equal">
      <formula>IF(MONTH($D$9)=4,DAY($D$9),-1)</formula>
    </cfRule>
  </conditionalFormatting>
  <conditionalFormatting sqref="C54:AK54">
    <cfRule type="cellIs" dxfId="228" priority="310" stopIfTrue="1" operator="equal">
      <formula>IF(MONTH($D$13)=5,DAY($D$13),-1)</formula>
    </cfRule>
  </conditionalFormatting>
  <conditionalFormatting sqref="C54:AK55">
    <cfRule type="cellIs" dxfId="227" priority="154" stopIfTrue="1" operator="equal">
      <formula>1</formula>
    </cfRule>
  </conditionalFormatting>
  <conditionalFormatting sqref="C58:AK58">
    <cfRule type="cellIs" dxfId="226" priority="209" stopIfTrue="1" operator="equal">
      <formula>1</formula>
    </cfRule>
  </conditionalFormatting>
  <conditionalFormatting sqref="C62:AK63">
    <cfRule type="cellIs" dxfId="225" priority="150" stopIfTrue="1" operator="equal">
      <formula>10</formula>
    </cfRule>
    <cfRule type="cellIs" dxfId="224" priority="152" stopIfTrue="1" operator="equal">
      <formula>IF(MONTH($D$13)=6,DAY($D$13),-1)</formula>
    </cfRule>
    <cfRule type="cellIs" dxfId="223" priority="151" stopIfTrue="1" operator="equal">
      <formula>1</formula>
    </cfRule>
  </conditionalFormatting>
  <conditionalFormatting sqref="C70:AK70 C71:N71 S71:X71 Z71:AE71 AI73">
    <cfRule type="cellIs" dxfId="222" priority="354" stopIfTrue="1" operator="equal">
      <formula>IF(MONTH($D$13)=7,DAY($D$13),-1)</formula>
    </cfRule>
  </conditionalFormatting>
  <conditionalFormatting sqref="C74:AL74">
    <cfRule type="cellIs" dxfId="221" priority="208" stopIfTrue="1" operator="equal">
      <formula>IF(MONTH($D$13)=7,DAY($D$13),-1)</formula>
    </cfRule>
  </conditionalFormatting>
  <conditionalFormatting sqref="D82">
    <cfRule type="cellIs" dxfId="220" priority="334" stopIfTrue="1" operator="equal">
      <formula>IF(MONTH($D$13)=7,DAY($D$13),-1)</formula>
    </cfRule>
  </conditionalFormatting>
  <conditionalFormatting sqref="D96">
    <cfRule type="cellIs" dxfId="219" priority="295" stopIfTrue="1" operator="equal">
      <formula>IF(MONTH($D$13)=7,DAY($D$13),-1)</formula>
    </cfRule>
  </conditionalFormatting>
  <conditionalFormatting sqref="E56:H57">
    <cfRule type="cellIs" dxfId="218" priority="347" stopIfTrue="1" operator="equal">
      <formula>IF(MONTH($D$13)=5,DAY($D$13),-1)</formula>
    </cfRule>
  </conditionalFormatting>
  <conditionalFormatting sqref="E57:X57">
    <cfRule type="cellIs" dxfId="217" priority="275" stopIfTrue="1" operator="equal">
      <formula>1</formula>
    </cfRule>
  </conditionalFormatting>
  <conditionalFormatting sqref="E56:AK56">
    <cfRule type="cellIs" dxfId="216" priority="53" stopIfTrue="1" operator="equal">
      <formula>1</formula>
    </cfRule>
  </conditionalFormatting>
  <conditionalFormatting sqref="G50">
    <cfRule type="cellIs" dxfId="215" priority="338" stopIfTrue="1" operator="equal">
      <formula>1</formula>
    </cfRule>
  </conditionalFormatting>
  <conditionalFormatting sqref="J110:P111 J112:M112 P112 J113:P114">
    <cfRule type="cellIs" dxfId="214" priority="228" stopIfTrue="1" operator="equal">
      <formula>8</formula>
    </cfRule>
  </conditionalFormatting>
  <conditionalFormatting sqref="J66:AK66">
    <cfRule type="cellIs" dxfId="213" priority="305" stopIfTrue="1" operator="equal">
      <formula>1</formula>
    </cfRule>
  </conditionalFormatting>
  <conditionalFormatting sqref="K50">
    <cfRule type="cellIs" dxfId="212" priority="337" stopIfTrue="1" operator="equal">
      <formula>1</formula>
    </cfRule>
  </conditionalFormatting>
  <conditionalFormatting sqref="K82">
    <cfRule type="cellIs" dxfId="211" priority="335" stopIfTrue="1" operator="equal">
      <formula>IF(MONTH($D$13)=7,DAY($D$13),-1)</formula>
    </cfRule>
  </conditionalFormatting>
  <conditionalFormatting sqref="K80:O81">
    <cfRule type="cellIs" dxfId="210" priority="90" stopIfTrue="1" operator="equal">
      <formula>IF(MONTH($D$13)=7,DAY($D$13),-1)</formula>
    </cfRule>
  </conditionalFormatting>
  <conditionalFormatting sqref="L31:L33">
    <cfRule type="cellIs" dxfId="209" priority="219" stopIfTrue="1" operator="equal">
      <formula>IF(MONTH($D$9)=3,DAY($D$9),-1)</formula>
    </cfRule>
    <cfRule type="cellIs" dxfId="208" priority="220" stopIfTrue="1" operator="equal">
      <formula>IF(MONTH($D$10)=3,DAY($D$10),-1)</formula>
    </cfRule>
    <cfRule type="cellIs" dxfId="207" priority="221" stopIfTrue="1" operator="equal">
      <formula>IF(MONTH($D$12)=3,DAY($D$12),-1)</formula>
    </cfRule>
  </conditionalFormatting>
  <conditionalFormatting sqref="L72:N72">
    <cfRule type="cellIs" dxfId="206" priority="145" stopIfTrue="1" operator="equal">
      <formula>IF(MONTH($D$13)=7,DAY($D$13),-1)</formula>
    </cfRule>
  </conditionalFormatting>
  <conditionalFormatting sqref="L73:O73">
    <cfRule type="cellIs" dxfId="205" priority="172" stopIfTrue="1" operator="equal">
      <formula>IF(MONTH($D$13)=7,DAY($D$13),-1)</formula>
    </cfRule>
  </conditionalFormatting>
  <conditionalFormatting sqref="L40:AF40">
    <cfRule type="cellIs" dxfId="204" priority="104" stopIfTrue="1" operator="equal">
      <formula>IF(MONTH($D$9)=3,DAY($D$9),-1)</formula>
    </cfRule>
    <cfRule type="cellIs" dxfId="203" priority="105" stopIfTrue="1" operator="equal">
      <formula>IF(MONTH($D$10)=3,DAY($D$10),-1)</formula>
    </cfRule>
    <cfRule type="cellIs" dxfId="202" priority="106" stopIfTrue="1" operator="equal">
      <formula>IF(MONTH($D$12)=3,DAY($D$12),-1)</formula>
    </cfRule>
  </conditionalFormatting>
  <conditionalFormatting sqref="L41:AR41">
    <cfRule type="cellIs" dxfId="201" priority="69" stopIfTrue="1" operator="equal">
      <formula>IF(MONTH($D$9)=3,DAY($D$9),-1)</formula>
    </cfRule>
    <cfRule type="cellIs" dxfId="200" priority="70" stopIfTrue="1" operator="equal">
      <formula>IF(MONTH($D$10)=3,DAY($D$10),-1)</formula>
    </cfRule>
    <cfRule type="cellIs" dxfId="199" priority="71" stopIfTrue="1" operator="equal">
      <formula>IF(MONTH($D$12)=3,DAY($D$12),-1)</formula>
    </cfRule>
  </conditionalFormatting>
  <conditionalFormatting sqref="M31:Q32">
    <cfRule type="cellIs" dxfId="198" priority="224" stopIfTrue="1" operator="equal">
      <formula>IF(MONTH($D$10)=2,DAY($D$10),-1)</formula>
    </cfRule>
  </conditionalFormatting>
  <conditionalFormatting sqref="O71:O72">
    <cfRule type="cellIs" dxfId="197" priority="146" stopIfTrue="1" operator="equal">
      <formula>IF(MONTH($D$13)=7,DAY($D$13),-1)</formula>
    </cfRule>
  </conditionalFormatting>
  <conditionalFormatting sqref="P71:Q73 AK71:AK73 W72:X73 AD72:AE73">
    <cfRule type="cellIs" dxfId="196" priority="234" stopIfTrue="1" operator="equal">
      <formula>IF(MONTH($D$13)=7,DAY($D$13),-1)</formula>
    </cfRule>
  </conditionalFormatting>
  <conditionalFormatting sqref="Q79:Q81">
    <cfRule type="cellIs" dxfId="195" priority="231" stopIfTrue="1" operator="equal">
      <formula>15</formula>
    </cfRule>
  </conditionalFormatting>
  <conditionalFormatting sqref="Q78:W78">
    <cfRule type="cellIs" dxfId="194" priority="353" stopIfTrue="1" operator="equal">
      <formula>15</formula>
    </cfRule>
  </conditionalFormatting>
  <conditionalFormatting sqref="R31:R32">
    <cfRule type="cellIs" dxfId="193" priority="299" stopIfTrue="1" operator="equal">
      <formula>25</formula>
    </cfRule>
  </conditionalFormatting>
  <conditionalFormatting sqref="R34">
    <cfRule type="cellIs" dxfId="192" priority="217" stopIfTrue="1" operator="equal">
      <formula>1</formula>
    </cfRule>
  </conditionalFormatting>
  <conditionalFormatting sqref="R82">
    <cfRule type="cellIs" dxfId="191" priority="206" stopIfTrue="1" operator="equal">
      <formula>IF(MONTH($D$13)=7,DAY($D$13),-1)</formula>
    </cfRule>
  </conditionalFormatting>
  <conditionalFormatting sqref="S31">
    <cfRule type="cellIs" dxfId="190" priority="193" stopIfTrue="1" operator="equal">
      <formula>IF(MONTH($D$9)=3,DAY($D$9),-1)</formula>
    </cfRule>
    <cfRule type="cellIs" dxfId="189" priority="195" stopIfTrue="1" operator="equal">
      <formula>IF(MONTH($D$12)=3,DAY($D$12),-1)</formula>
    </cfRule>
    <cfRule type="cellIs" dxfId="188" priority="194" stopIfTrue="1" operator="equal">
      <formula>IF(MONTH($D$10)=3,DAY($D$10),-1)</formula>
    </cfRule>
  </conditionalFormatting>
  <conditionalFormatting sqref="T31:AK31">
    <cfRule type="cellIs" dxfId="187" priority="196" stopIfTrue="1" operator="equal">
      <formula>IF(MONTH($D$10)=2,DAY($D$10),-1)</formula>
    </cfRule>
  </conditionalFormatting>
  <conditionalFormatting sqref="U79">
    <cfRule type="cellIs" dxfId="186" priority="207" stopIfTrue="1" operator="equal">
      <formula>IF(MONTH($D$13)=7,DAY($D$13),-1)</formula>
    </cfRule>
  </conditionalFormatting>
  <conditionalFormatting sqref="U81">
    <cfRule type="cellIs" dxfId="185" priority="230" stopIfTrue="1" operator="equal">
      <formula>15</formula>
    </cfRule>
  </conditionalFormatting>
  <conditionalFormatting sqref="U27:AA28 U35:AA36 C38:AR38 K39:L39 N39:AR39 C39:J41 AJ40:AR40 C42:AI42 AK42:AR42 U43:AA43 U51:AA52 U59:AA59 U67:AA67 U75:AA76 U91:AA91 U99:AA100">
    <cfRule type="cellIs" dxfId="184" priority="350" stopIfTrue="1" operator="equal">
      <formula>IF(MONTH($D$9)=3,DAY($D$9),-1)</formula>
    </cfRule>
    <cfRule type="cellIs" dxfId="183" priority="351" stopIfTrue="1" operator="equal">
      <formula>IF(MONTH($D$10)=3,DAY($D$10),-1)</formula>
    </cfRule>
    <cfRule type="cellIs" dxfId="182" priority="352" stopIfTrue="1" operator="equal">
      <formula>IF(MONTH($D$12)=3,DAY($D$12),-1)</formula>
    </cfRule>
  </conditionalFormatting>
  <conditionalFormatting sqref="V34">
    <cfRule type="cellIs" dxfId="181" priority="341" stopIfTrue="1" operator="equal">
      <formula>1</formula>
    </cfRule>
  </conditionalFormatting>
  <conditionalFormatting sqref="W79:W81">
    <cfRule type="cellIs" dxfId="180" priority="232" stopIfTrue="1" operator="equal">
      <formula>15</formula>
    </cfRule>
  </conditionalFormatting>
  <conditionalFormatting sqref="X110:AK110">
    <cfRule type="cellIs" dxfId="179" priority="349" stopIfTrue="1" operator="equal">
      <formula>25</formula>
    </cfRule>
  </conditionalFormatting>
  <conditionalFormatting sqref="Y34">
    <cfRule type="cellIs" dxfId="178" priority="340" stopIfTrue="1" operator="equal">
      <formula>1</formula>
    </cfRule>
  </conditionalFormatting>
  <conditionalFormatting sqref="Y50">
    <cfRule type="cellIs" dxfId="177" priority="210" stopIfTrue="1" operator="equal">
      <formula>1</formula>
    </cfRule>
  </conditionalFormatting>
  <conditionalFormatting sqref="Y57">
    <cfRule type="cellIs" dxfId="176" priority="314" stopIfTrue="1" operator="equal">
      <formula>IF(MONTH($D$9)=3,DAY($D$9),-1)</formula>
    </cfRule>
    <cfRule type="cellIs" dxfId="175" priority="315" stopIfTrue="1" operator="equal">
      <formula>IF(MONTH($D$10)=3,DAY($D$10),-1)</formula>
    </cfRule>
    <cfRule type="cellIs" dxfId="174" priority="316" stopIfTrue="1" operator="equal">
      <formula>IF(MONTH($D$12)=3,DAY($D$12),-1)</formula>
    </cfRule>
  </conditionalFormatting>
  <conditionalFormatting sqref="Y82">
    <cfRule type="cellIs" dxfId="173" priority="184" stopIfTrue="1" operator="equal">
      <formula>IF(MONTH($D$13)=7,DAY($D$13),-1)</formula>
    </cfRule>
  </conditionalFormatting>
  <conditionalFormatting sqref="Y111:Y113">
    <cfRule type="cellIs" dxfId="172" priority="226" stopIfTrue="1" operator="equal">
      <formula>25</formula>
    </cfRule>
  </conditionalFormatting>
  <conditionalFormatting sqref="Z111:AA111 Z112:Z113">
    <cfRule type="cellIs" dxfId="171" priority="135" stopIfTrue="1" operator="equal">
      <formula>10</formula>
    </cfRule>
    <cfRule type="cellIs" dxfId="170" priority="136" stopIfTrue="1" operator="equal">
      <formula>1</formula>
    </cfRule>
    <cfRule type="cellIs" dxfId="169" priority="137" stopIfTrue="1" operator="equal">
      <formula>IF(MONTH($D$13)=6,DAY($D$13),-1)</formula>
    </cfRule>
  </conditionalFormatting>
  <conditionalFormatting sqref="Z57:AK57">
    <cfRule type="cellIs" dxfId="168" priority="177" stopIfTrue="1" operator="equal">
      <formula>1</formula>
    </cfRule>
  </conditionalFormatting>
  <conditionalFormatting sqref="AA112:AA113">
    <cfRule type="cellIs" dxfId="167" priority="17" stopIfTrue="1" operator="equal">
      <formula>IF(MONTH($D$13)=7,DAY($D$13),-1)</formula>
    </cfRule>
  </conditionalFormatting>
  <conditionalFormatting sqref="AB64">
    <cfRule type="cellIs" dxfId="166" priority="167" stopIfTrue="1" operator="equal">
      <formula>IF(MONTH($D$13)=7,DAY($D$13),-1)</formula>
    </cfRule>
  </conditionalFormatting>
  <conditionalFormatting sqref="AB111:AB113">
    <cfRule type="cellIs" dxfId="165" priority="225" stopIfTrue="1" operator="equal">
      <formula>25</formula>
    </cfRule>
  </conditionalFormatting>
  <conditionalFormatting sqref="AC72">
    <cfRule type="cellIs" dxfId="164" priority="142" stopIfTrue="1" operator="equal">
      <formula>IF(MONTH($D$13)=7,DAY($D$13),-1)</formula>
    </cfRule>
  </conditionalFormatting>
  <conditionalFormatting sqref="AC111:AC112">
    <cfRule type="cellIs" dxfId="163" priority="134" stopIfTrue="1" operator="equal">
      <formula>IF(MONTH($D$13)=6,DAY($D$13),-1)</formula>
    </cfRule>
    <cfRule type="cellIs" dxfId="162" priority="133" stopIfTrue="1" operator="equal">
      <formula>1</formula>
    </cfRule>
    <cfRule type="cellIs" dxfId="161" priority="132" stopIfTrue="1" operator="equal">
      <formula>10</formula>
    </cfRule>
  </conditionalFormatting>
  <conditionalFormatting sqref="AC113">
    <cfRule type="cellIs" dxfId="160" priority="19" stopIfTrue="1" operator="equal">
      <formula>IF(MONTH($D$13)=7,DAY($D$13),-1)</formula>
    </cfRule>
  </conditionalFormatting>
  <conditionalFormatting sqref="AD49">
    <cfRule type="cellIs" dxfId="159" priority="280" stopIfTrue="1" operator="equal">
      <formula>25</formula>
    </cfRule>
    <cfRule type="cellIs" dxfId="158" priority="281" stopIfTrue="1" operator="equal">
      <formula>IF(MONTH($D$9)=4,DAY($D$9),-1)</formula>
    </cfRule>
    <cfRule type="cellIs" dxfId="157" priority="282" stopIfTrue="1" operator="equal">
      <formula>IF(MONTH($D$12)=4,DAY($D$12),-1)</formula>
    </cfRule>
  </conditionalFormatting>
  <conditionalFormatting sqref="AD79">
    <cfRule type="cellIs" dxfId="156" priority="205" stopIfTrue="1" operator="equal">
      <formula>15</formula>
    </cfRule>
  </conditionalFormatting>
  <conditionalFormatting sqref="AD111:AE113 AH112:AK112 AK113">
    <cfRule type="cellIs" dxfId="155" priority="227" stopIfTrue="1" operator="equal">
      <formula>25</formula>
    </cfRule>
  </conditionalFormatting>
  <conditionalFormatting sqref="AD64:AK64 V65:AH65 C66:I66 AK65">
    <cfRule type="cellIs" dxfId="154" priority="356" stopIfTrue="1" operator="equal">
      <formula>1</formula>
    </cfRule>
  </conditionalFormatting>
  <conditionalFormatting sqref="AD64:AK64 V65:AH65 C66:I66">
    <cfRule type="cellIs" dxfId="153" priority="355" stopIfTrue="1" operator="equal">
      <formula>10</formula>
    </cfRule>
  </conditionalFormatting>
  <conditionalFormatting sqref="AD64:AK64 V65:AH65 AK65 C66:I66">
    <cfRule type="cellIs" dxfId="152" priority="357" stopIfTrue="1" operator="equal">
      <formula>IF(MONTH($D$13)=6,DAY($D$13),-1)</formula>
    </cfRule>
  </conditionalFormatting>
  <conditionalFormatting sqref="AE48:AE49">
    <cfRule type="cellIs" dxfId="151" priority="179" stopIfTrue="1" operator="equal">
      <formula>IF(MONTH($D$13)=7,DAY($D$13),-1)</formula>
    </cfRule>
  </conditionalFormatting>
  <conditionalFormatting sqref="AE80:AE81">
    <cfRule type="cellIs" dxfId="150" priority="197" stopIfTrue="1" operator="equal">
      <formula>IF(MONTH($D$13)=7,DAY($D$13),-1)</formula>
    </cfRule>
  </conditionalFormatting>
  <conditionalFormatting sqref="AE114">
    <cfRule type="cellIs" dxfId="149" priority="333" stopIfTrue="1" operator="equal">
      <formula>25</formula>
    </cfRule>
  </conditionalFormatting>
  <conditionalFormatting sqref="AF32:AF33">
    <cfRule type="cellIs" dxfId="148" priority="348" stopIfTrue="1" operator="equal">
      <formula>IF(MONTH($D$10)=2,DAY($D$10),-1)</formula>
    </cfRule>
  </conditionalFormatting>
  <conditionalFormatting sqref="AF50">
    <cfRule type="cellIs" dxfId="147" priority="336" stopIfTrue="1" operator="equal">
      <formula>1</formula>
    </cfRule>
  </conditionalFormatting>
  <conditionalFormatting sqref="AF82">
    <cfRule type="cellIs" dxfId="146" priority="183" stopIfTrue="1" operator="equal">
      <formula>IF(MONTH($D$13)=7,DAY($D$13),-1)</formula>
    </cfRule>
  </conditionalFormatting>
  <conditionalFormatting sqref="AF88:AF89">
    <cfRule type="cellIs" dxfId="145" priority="229" stopIfTrue="1" operator="equal">
      <formula>IF(MONTH($D$13)=7,DAY($D$13),-1)</formula>
    </cfRule>
  </conditionalFormatting>
  <conditionalFormatting sqref="AF113 AH113">
    <cfRule type="cellIs" dxfId="144" priority="18" stopIfTrue="1" operator="equal">
      <formula>IF(MONTH($D$13)=7,DAY($D$13),-1)</formula>
    </cfRule>
  </conditionalFormatting>
  <conditionalFormatting sqref="AF111:AG111">
    <cfRule type="cellIs" dxfId="143" priority="144" stopIfTrue="1" operator="equal">
      <formula>25</formula>
    </cfRule>
  </conditionalFormatting>
  <conditionalFormatting sqref="AG40:AI40">
    <cfRule type="cellIs" dxfId="142" priority="300" stopIfTrue="1" operator="equal">
      <formula>25</formula>
    </cfRule>
  </conditionalFormatting>
  <conditionalFormatting sqref="AG72:AJ72">
    <cfRule type="cellIs" dxfId="141" priority="128" stopIfTrue="1" operator="equal">
      <formula>IF(MONTH($D$13)=7,DAY($D$13),-1)</formula>
    </cfRule>
  </conditionalFormatting>
  <conditionalFormatting sqref="AG88:AJ89">
    <cfRule type="cellIs" dxfId="140" priority="182" stopIfTrue="1" operator="equal">
      <formula>25</formula>
    </cfRule>
  </conditionalFormatting>
  <conditionalFormatting sqref="AG48:AK50">
    <cfRule type="cellIs" dxfId="139" priority="88" stopIfTrue="1" operator="equal">
      <formula>IF(MONTH($D$9)=4,DAY($D$9),-1)</formula>
    </cfRule>
    <cfRule type="cellIs" dxfId="138" priority="87" stopIfTrue="1" operator="equal">
      <formula>25</formula>
    </cfRule>
    <cfRule type="cellIs" dxfId="137" priority="89" stopIfTrue="1" operator="equal">
      <formula>IF(MONTH($D$12)=4,DAY($D$12),-1)</formula>
    </cfRule>
  </conditionalFormatting>
  <conditionalFormatting sqref="AH111">
    <cfRule type="cellIs" dxfId="136" priority="200" stopIfTrue="1" operator="equal">
      <formula>IF(MONTH($D$13)=6,DAY($D$13),-1)</formula>
    </cfRule>
    <cfRule type="cellIs" dxfId="135" priority="198" stopIfTrue="1" operator="equal">
      <formula>10</formula>
    </cfRule>
    <cfRule type="cellIs" dxfId="134" priority="199" stopIfTrue="1" operator="equal">
      <formula>1</formula>
    </cfRule>
  </conditionalFormatting>
  <conditionalFormatting sqref="AI111">
    <cfRule type="cellIs" dxfId="133" priority="201" stopIfTrue="1" operator="equal">
      <formula>25</formula>
    </cfRule>
  </conditionalFormatting>
  <conditionalFormatting sqref="AI65:AJ65">
    <cfRule type="cellIs" dxfId="132" priority="331" stopIfTrue="1" operator="equal">
      <formula>IF(MONTH($D$13)=7,DAY($D$13),-1)</formula>
    </cfRule>
  </conditionalFormatting>
  <conditionalFormatting sqref="AI71:AJ71">
    <cfRule type="cellIs" dxfId="131" priority="180" stopIfTrue="1" operator="equal">
      <formula>IF(MONTH($D$13)=7,DAY($D$13),-1)</formula>
    </cfRule>
  </conditionalFormatting>
  <conditionalFormatting sqref="AJ42">
    <cfRule type="cellIs" dxfId="130" priority="339" stopIfTrue="1" operator="equal">
      <formula>1</formula>
    </cfRule>
  </conditionalFormatting>
  <conditionalFormatting sqref="AJ111">
    <cfRule type="cellIs" dxfId="129" priority="4" stopIfTrue="1" operator="equal">
      <formula>IF(MONTH($D$13)=7,DAY($D$13),-1)</formula>
    </cfRule>
  </conditionalFormatting>
  <conditionalFormatting sqref="AK65">
    <cfRule type="cellIs" dxfId="128" priority="245" stopIfTrue="1" operator="equal">
      <formula>10</formula>
    </cfRule>
  </conditionalFormatting>
  <conditionalFormatting sqref="AK127:AK130">
    <cfRule type="cellIs" dxfId="127" priority="241" stopIfTrue="1" operator="greaterThan">
      <formula>O127</formula>
    </cfRule>
  </conditionalFormatting>
  <conditionalFormatting sqref="AK111:AL111">
    <cfRule type="cellIs" dxfId="126" priority="202" stopIfTrue="1" operator="equal">
      <formula>25</formula>
    </cfRule>
  </conditionalFormatting>
  <conditionalFormatting sqref="AL114">
    <cfRule type="cellIs" dxfId="125" priority="332" stopIfTrue="1" operator="equal">
      <formula>25</formula>
    </cfRule>
  </conditionalFormatting>
  <conditionalFormatting sqref="AM112">
    <cfRule type="cellIs" dxfId="124" priority="301" stopIfTrue="1" operator="equal">
      <formula>25</formula>
    </cfRule>
  </conditionalFormatting>
  <conditionalFormatting sqref="AM113">
    <cfRule type="cellIs" dxfId="123" priority="342" stopIfTrue="1" operator="equal">
      <formula>IF(MONTH($D$13)=7,DAY($D$13),-1)</formula>
    </cfRule>
  </conditionalFormatting>
  <dataValidations disablePrompts="1" count="1">
    <dataValidation type="list" allowBlank="1" showInputMessage="1" showErrorMessage="1" sqref="I15:K15" xr:uid="{EA9225F0-6D13-4001-8DD0-5ADB53D8015E}">
      <formula1>ANO</formula1>
    </dataValidation>
  </dataValidations>
  <printOptions horizontalCentered="1" verticalCentered="1" gridLinesSet="0"/>
  <pageMargins left="0.23622047244094491" right="0.27559055118110237" top="0.25" bottom="0.2" header="0.25" footer="0.2"/>
  <pageSetup paperSize="9" orientation="portrait" r:id="rId1"/>
  <headerFooter alignWithMargins="0">
    <oddHeader>&amp;L&amp;"Arial"&amp;8&amp;K000000INTERNAL&amp;1#_x000D_&amp;"Calibri"&amp;11&amp;K000000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6E16-A9E6-40DB-A293-F86B93A7A925}">
  <dimension ref="A1:AW140"/>
  <sheetViews>
    <sheetView showGridLines="0" tabSelected="1" topLeftCell="A15" zoomScaleNormal="100" workbookViewId="0">
      <pane xSplit="2" ySplit="4" topLeftCell="C31" activePane="bottomRight" state="frozen"/>
      <selection pane="topRight" activeCell="C15" sqref="C15"/>
      <selection pane="bottomLeft" activeCell="A19" sqref="A19"/>
      <selection pane="bottomRight" activeCell="A48" sqref="A48:XFD48"/>
    </sheetView>
  </sheetViews>
  <sheetFormatPr defaultColWidth="9.453125" defaultRowHeight="13" x14ac:dyDescent="0.25"/>
  <cols>
    <col min="1" max="1" width="6.54296875" style="7" customWidth="1"/>
    <col min="2" max="2" width="19.453125" style="7" customWidth="1"/>
    <col min="3" max="3" width="5.453125" style="7" customWidth="1"/>
    <col min="4" max="4" width="4.453125" style="7" customWidth="1"/>
    <col min="5" max="44" width="4.54296875" style="7" customWidth="1"/>
    <col min="45" max="16384" width="9.453125" style="7"/>
  </cols>
  <sheetData>
    <row r="1" spans="1:29" x14ac:dyDescent="0.25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4"/>
      <c r="H1" s="4"/>
      <c r="I1" s="5"/>
      <c r="J1" s="4"/>
      <c r="K1" s="4"/>
      <c r="L1" s="4"/>
      <c r="M1" s="3" t="s">
        <v>4</v>
      </c>
      <c r="N1" s="3" t="s">
        <v>5</v>
      </c>
      <c r="O1" s="3" t="s">
        <v>6</v>
      </c>
      <c r="P1" s="3" t="s">
        <v>7</v>
      </c>
      <c r="Q1" s="4"/>
      <c r="R1" s="5"/>
      <c r="S1" s="4"/>
      <c r="T1" s="4"/>
      <c r="U1" s="3" t="s">
        <v>8</v>
      </c>
      <c r="V1" s="3" t="s">
        <v>9</v>
      </c>
      <c r="W1" s="3" t="s">
        <v>10</v>
      </c>
      <c r="X1" s="3" t="s">
        <v>11</v>
      </c>
      <c r="Y1" s="4"/>
      <c r="Z1" s="4"/>
      <c r="AA1" s="4"/>
      <c r="AB1" s="6"/>
    </row>
    <row r="2" spans="1:29" x14ac:dyDescent="0.25">
      <c r="A2" s="8"/>
      <c r="B2" s="9"/>
      <c r="C2" s="10" t="str">
        <f>"1/1/" &amp;I15</f>
        <v>1/1/2026</v>
      </c>
      <c r="D2" s="9">
        <f>U2+31</f>
        <v>46113</v>
      </c>
      <c r="E2" s="9">
        <f>V2+30</f>
        <v>46204</v>
      </c>
      <c r="F2" s="9">
        <f>W2+30</f>
        <v>46296</v>
      </c>
      <c r="G2" s="9"/>
      <c r="H2" s="11"/>
      <c r="I2" s="12"/>
      <c r="J2" s="11"/>
      <c r="K2" s="11"/>
      <c r="L2" s="11">
        <f>IF(OR((AND(MOD(YEAR(C2),4)=0,MOD(YEAR(C2),100)&lt;&gt;0)), (MOD(YEAR(C2),400)=0)), 29,28)</f>
        <v>28</v>
      </c>
      <c r="M2" s="9">
        <f>C2+31</f>
        <v>46054</v>
      </c>
      <c r="N2" s="9">
        <f>D2+30</f>
        <v>46143</v>
      </c>
      <c r="O2" s="9">
        <f>E2+31</f>
        <v>46235</v>
      </c>
      <c r="P2" s="9">
        <f>F2+31</f>
        <v>46327</v>
      </c>
      <c r="Q2" s="11"/>
      <c r="R2" s="12"/>
      <c r="S2" s="11"/>
      <c r="T2" s="11"/>
      <c r="U2" s="9">
        <f>M2+L2</f>
        <v>46082</v>
      </c>
      <c r="V2" s="9">
        <f>N2+31</f>
        <v>46174</v>
      </c>
      <c r="W2" s="9">
        <f>O2+31</f>
        <v>46266</v>
      </c>
      <c r="X2" s="9">
        <f>P2+30</f>
        <v>46357</v>
      </c>
      <c r="Y2" s="11"/>
      <c r="Z2" s="11"/>
      <c r="AA2" s="11"/>
      <c r="AC2" s="13"/>
    </row>
    <row r="3" spans="1:29" ht="15.75" customHeight="1" x14ac:dyDescent="0.25">
      <c r="A3" s="14" t="s">
        <v>0</v>
      </c>
      <c r="B3" s="15"/>
      <c r="C3" s="11">
        <f>IF(WEEKDAY($C$2)=1,1,0)</f>
        <v>0</v>
      </c>
      <c r="D3" s="11">
        <f>IF(WEEKDAY($C$2)=2,1,0)</f>
        <v>0</v>
      </c>
      <c r="E3" s="11">
        <f>IF(WEEKDAY($C$2)=3,1,0)</f>
        <v>0</v>
      </c>
      <c r="F3" s="11">
        <f>IF(WEEKDAY($C$2)=4,1,0)</f>
        <v>0</v>
      </c>
      <c r="G3" s="11">
        <f>IF(WEEKDAY($C$2)=5,1,0)</f>
        <v>1</v>
      </c>
      <c r="H3" s="11">
        <f>IF(WEEKDAY($C$2)=6,1,0)</f>
        <v>0</v>
      </c>
      <c r="I3" s="12">
        <f>IF(WEEKDAY($C$2)=7,1,0)</f>
        <v>0</v>
      </c>
      <c r="J3" s="15" t="s">
        <v>4</v>
      </c>
      <c r="K3" s="15"/>
      <c r="L3" s="11">
        <f>IF(WEEKDAY($M$2)=1,1,0)</f>
        <v>1</v>
      </c>
      <c r="M3" s="11">
        <f>IF(WEEKDAY($M$2)=2,1,0)</f>
        <v>0</v>
      </c>
      <c r="N3" s="11">
        <f>IF(WEEKDAY($M$2)=3,1,0)</f>
        <v>0</v>
      </c>
      <c r="O3" s="11">
        <f>IF(WEEKDAY($M$2)=4,1,0)</f>
        <v>0</v>
      </c>
      <c r="P3" s="11">
        <f>IF(WEEKDAY($M$2)=5,1,0)</f>
        <v>0</v>
      </c>
      <c r="Q3" s="11">
        <f>IF(WEEKDAY($M$2)=6,1,0)</f>
        <v>0</v>
      </c>
      <c r="R3" s="12">
        <f>IF(WEEKDAY($M$2)=7,1,0)</f>
        <v>0</v>
      </c>
      <c r="S3" s="15" t="s">
        <v>8</v>
      </c>
      <c r="T3" s="15"/>
      <c r="U3" s="11">
        <f>IF(WEEKDAY($U$2)=1,1,0)</f>
        <v>1</v>
      </c>
      <c r="V3" s="11">
        <f>IF(WEEKDAY($U$2)=2,1,0)</f>
        <v>0</v>
      </c>
      <c r="W3" s="11">
        <f>IF(WEEKDAY($U$2)=3,1,0)</f>
        <v>0</v>
      </c>
      <c r="X3" s="11">
        <f>IF(WEEKDAY($U$2)=4,1,0)</f>
        <v>0</v>
      </c>
      <c r="Y3" s="11">
        <f>IF(WEEKDAY($U$2)=5,1,0)</f>
        <v>0</v>
      </c>
      <c r="Z3" s="11">
        <f>IF(WEEKDAY($U$2)=6,1,0)</f>
        <v>0</v>
      </c>
      <c r="AA3" s="11">
        <f>IF(WEEKDAY($U$2)=7,1,0)</f>
        <v>0</v>
      </c>
    </row>
    <row r="4" spans="1:29" ht="15.75" customHeight="1" x14ac:dyDescent="0.25">
      <c r="A4" s="14" t="s">
        <v>1</v>
      </c>
      <c r="B4" s="15"/>
      <c r="C4" s="11">
        <f>IF(WEEKDAY($D$2)=1,1,0)</f>
        <v>0</v>
      </c>
      <c r="D4" s="11">
        <f>IF(WEEKDAY($D$2)=2,1,0)</f>
        <v>0</v>
      </c>
      <c r="E4" s="11">
        <f>IF(WEEKDAY($D$2)=3,1,0)</f>
        <v>0</v>
      </c>
      <c r="F4" s="11">
        <f>IF(WEEKDAY($D$2)=4,1,0)</f>
        <v>1</v>
      </c>
      <c r="G4" s="11">
        <f>IF(WEEKDAY($D$2)=5,1,0)</f>
        <v>0</v>
      </c>
      <c r="H4" s="11">
        <f>IF(WEEKDAY($D$2)=6,1,0)</f>
        <v>0</v>
      </c>
      <c r="I4" s="12">
        <f>IF(WEEKDAY($D$2)=7,1,0)</f>
        <v>0</v>
      </c>
      <c r="J4" s="15" t="s">
        <v>5</v>
      </c>
      <c r="K4" s="15"/>
      <c r="L4" s="11">
        <f>IF(WEEKDAY($N$2)=1,1,0)</f>
        <v>0</v>
      </c>
      <c r="M4" s="11">
        <f>IF(WEEKDAY($N$2)=2,1,0)</f>
        <v>0</v>
      </c>
      <c r="N4" s="11">
        <f>IF(WEEKDAY($N$2)=3,1,0)</f>
        <v>0</v>
      </c>
      <c r="O4" s="11">
        <f>IF(WEEKDAY($N$2)=4,1,0)</f>
        <v>0</v>
      </c>
      <c r="P4" s="11">
        <f>IF(WEEKDAY($N$2)=5,1,0)</f>
        <v>0</v>
      </c>
      <c r="Q4" s="11">
        <f>IF(WEEKDAY($N$2)=6,1,0)</f>
        <v>1</v>
      </c>
      <c r="R4" s="12">
        <f>IF(WEEKDAY($N$2)=7,1,0)</f>
        <v>0</v>
      </c>
      <c r="S4" s="15" t="s">
        <v>9</v>
      </c>
      <c r="T4" s="15"/>
      <c r="U4" s="11">
        <f>IF(WEEKDAY($V$2)=1,1,0)</f>
        <v>0</v>
      </c>
      <c r="V4" s="11">
        <f>IF(WEEKDAY($V$2)=2,1,0)</f>
        <v>1</v>
      </c>
      <c r="W4" s="11">
        <f>IF(WEEKDAY($V$2)=3,1,0)</f>
        <v>0</v>
      </c>
      <c r="X4" s="11">
        <f>IF(WEEKDAY($V$2)=4,1,0)</f>
        <v>0</v>
      </c>
      <c r="Y4" s="11">
        <f>IF(WEEKDAY($V$2)=5,1,0)</f>
        <v>0</v>
      </c>
      <c r="Z4" s="11">
        <f>IF(WEEKDAY($V$2)=6,1,0)</f>
        <v>0</v>
      </c>
      <c r="AA4" s="11">
        <f>IF(WEEKDAY($V$2)=7,1,0)</f>
        <v>0</v>
      </c>
    </row>
    <row r="5" spans="1:29" ht="15.75" customHeight="1" x14ac:dyDescent="0.25">
      <c r="A5" s="14" t="s">
        <v>2</v>
      </c>
      <c r="B5" s="15"/>
      <c r="C5" s="11">
        <f>IF(WEEKDAY($E$2)=1,1,0)</f>
        <v>0</v>
      </c>
      <c r="D5" s="11">
        <f>IF(WEEKDAY($E$2)=2,1,0)</f>
        <v>0</v>
      </c>
      <c r="E5" s="11">
        <f>IF(WEEKDAY($E$2)=3,1,0)</f>
        <v>0</v>
      </c>
      <c r="F5" s="11">
        <f>IF(WEEKDAY($E$2)=4,1,0)</f>
        <v>1</v>
      </c>
      <c r="G5" s="11">
        <f>IF(WEEKDAY($E$2)=5,1,0)</f>
        <v>0</v>
      </c>
      <c r="H5" s="11">
        <f>IF(WEEKDAY($E$2)=6,1,0)</f>
        <v>0</v>
      </c>
      <c r="I5" s="12">
        <f>IF(WEEKDAY($E$2)=7,1,0)</f>
        <v>0</v>
      </c>
      <c r="J5" s="15" t="s">
        <v>6</v>
      </c>
      <c r="K5" s="15"/>
      <c r="L5" s="11">
        <f>IF(WEEKDAY($O$2)=1,1,0)</f>
        <v>0</v>
      </c>
      <c r="M5" s="11">
        <f>IF(WEEKDAY($O$2)=2,1,0)</f>
        <v>0</v>
      </c>
      <c r="N5" s="11">
        <f>IF(WEEKDAY($O$2)=3,1,0)</f>
        <v>0</v>
      </c>
      <c r="O5" s="11">
        <f>IF(WEEKDAY($O$2)=4,1,0)</f>
        <v>0</v>
      </c>
      <c r="P5" s="11">
        <f>IF(WEEKDAY($O$2)=5,1,0)</f>
        <v>0</v>
      </c>
      <c r="Q5" s="11">
        <f>IF(WEEKDAY($O$2)=6,1,0)</f>
        <v>0</v>
      </c>
      <c r="R5" s="12">
        <f>IF(WEEKDAY($O$2)=7,1,0)</f>
        <v>1</v>
      </c>
      <c r="S5" s="15" t="s">
        <v>10</v>
      </c>
      <c r="T5" s="15"/>
      <c r="U5" s="11">
        <f>IF(WEEKDAY($W$2)=1,1,0)</f>
        <v>0</v>
      </c>
      <c r="V5" s="11">
        <f>IF(WEEKDAY($W$2)=2,1,0)</f>
        <v>0</v>
      </c>
      <c r="W5" s="11">
        <f>IF(WEEKDAY($W$2)=3,1,0)</f>
        <v>1</v>
      </c>
      <c r="X5" s="11">
        <f>IF(WEEKDAY($W$2)=4,1,0)</f>
        <v>0</v>
      </c>
      <c r="Y5" s="11">
        <f>IF(WEEKDAY($W$2)=5,1,0)</f>
        <v>0</v>
      </c>
      <c r="Z5" s="11">
        <f>IF(WEEKDAY($W$2)=6,1,0)</f>
        <v>0</v>
      </c>
      <c r="AA5" s="11">
        <f>IF(WEEKDAY($W$2)=7,1,0)</f>
        <v>0</v>
      </c>
    </row>
    <row r="6" spans="1:29" ht="15.75" customHeight="1" x14ac:dyDescent="0.25">
      <c r="A6" s="14" t="s">
        <v>3</v>
      </c>
      <c r="B6" s="15"/>
      <c r="C6" s="11">
        <f>IF(WEEKDAY($F$2)=1,1,0)</f>
        <v>0</v>
      </c>
      <c r="D6" s="11">
        <f>IF(WEEKDAY($F$2)=2,1,0)</f>
        <v>0</v>
      </c>
      <c r="E6" s="11">
        <f>IF(WEEKDAY($F$2)=3,1,0)</f>
        <v>0</v>
      </c>
      <c r="F6" s="11">
        <f>IF(WEEKDAY($F$2)=4,1,0)</f>
        <v>0</v>
      </c>
      <c r="G6" s="11">
        <f>IF(WEEKDAY($F$2)=5,1,0)</f>
        <v>1</v>
      </c>
      <c r="H6" s="11">
        <f>IF(WEEKDAY($F$2)=6,1,0)</f>
        <v>0</v>
      </c>
      <c r="I6" s="12">
        <f>IF(WEEKDAY($F$2)=7,1,0)</f>
        <v>0</v>
      </c>
      <c r="J6" s="15" t="s">
        <v>7</v>
      </c>
      <c r="K6" s="15"/>
      <c r="L6" s="11">
        <f>IF(WEEKDAY($P$2)=1,1,0)</f>
        <v>1</v>
      </c>
      <c r="M6" s="11">
        <f>IF(WEEKDAY($P$2)=2,1,0)</f>
        <v>0</v>
      </c>
      <c r="N6" s="11">
        <f>IF(WEEKDAY($P$2)=3,1,0)</f>
        <v>0</v>
      </c>
      <c r="O6" s="11">
        <f>IF(WEEKDAY($P$2)=4,1,0)</f>
        <v>0</v>
      </c>
      <c r="P6" s="11">
        <f>IF(WEEKDAY($P$2)=5,1,0)</f>
        <v>0</v>
      </c>
      <c r="Q6" s="11">
        <f>IF(WEEKDAY($P$2)=6,1,0)</f>
        <v>0</v>
      </c>
      <c r="R6" s="12">
        <f>IF(WEEKDAY($P$2)=7,1,0)</f>
        <v>0</v>
      </c>
      <c r="S6" s="15" t="s">
        <v>11</v>
      </c>
      <c r="T6" s="15"/>
      <c r="U6" s="11">
        <f>IF(WEEKDAY($X$2)=1,1,0)</f>
        <v>0</v>
      </c>
      <c r="V6" s="11">
        <f>IF(WEEKDAY($X$2)=2,1,0)</f>
        <v>0</v>
      </c>
      <c r="W6" s="11">
        <f>IF(WEEKDAY($X$2)=3,1,0)</f>
        <v>1</v>
      </c>
      <c r="X6" s="11">
        <f>IF(WEEKDAY($X$2)=4,1,0)</f>
        <v>0</v>
      </c>
      <c r="Y6" s="11">
        <f>IF(WEEKDAY($X$2)=5,1,0)</f>
        <v>0</v>
      </c>
      <c r="Z6" s="11">
        <f>IF(WEEKDAY($X$2)=6,1,0)</f>
        <v>0</v>
      </c>
      <c r="AA6" s="11">
        <f>IF(WEEKDAY($X$2)=7,1,0)</f>
        <v>0</v>
      </c>
    </row>
    <row r="8" spans="1:29" x14ac:dyDescent="0.25">
      <c r="A8" s="152" t="s">
        <v>12</v>
      </c>
      <c r="B8" s="152"/>
      <c r="C8" s="7">
        <f>MOD(I15,19)</f>
        <v>12</v>
      </c>
      <c r="D8" s="7">
        <f>MOD(I15,4)</f>
        <v>2</v>
      </c>
      <c r="E8">
        <f>MOD(I15,7)</f>
        <v>3</v>
      </c>
      <c r="F8" s="7">
        <f>MOD((19*C8+24),30)</f>
        <v>12</v>
      </c>
      <c r="G8" s="7">
        <f>MOD((6*F8+4*E8+2*D8+5),7)</f>
        <v>2</v>
      </c>
      <c r="H8" s="13">
        <f>DATE(I15,3,22)</f>
        <v>46103</v>
      </c>
      <c r="I8" s="13">
        <f>H8+G8+F8</f>
        <v>46117</v>
      </c>
      <c r="J8" s="7">
        <f>DAY(I8)</f>
        <v>5</v>
      </c>
    </row>
    <row r="9" spans="1:29" x14ac:dyDescent="0.25">
      <c r="A9" s="152" t="s">
        <v>13</v>
      </c>
      <c r="B9" s="152"/>
      <c r="C9" s="152"/>
      <c r="D9" s="153">
        <f>IF(J8=26,DATE(I15,4,19),IF(AND(J8=25,C8&gt;10),DATE(I15,4,18),I8))</f>
        <v>46117</v>
      </c>
      <c r="E9" s="153"/>
      <c r="F9" s="153"/>
      <c r="H9" s="13"/>
      <c r="I9" s="13"/>
    </row>
    <row r="10" spans="1:29" x14ac:dyDescent="0.25">
      <c r="A10" s="152" t="s">
        <v>14</v>
      </c>
      <c r="B10" s="152"/>
      <c r="C10" s="152"/>
      <c r="D10" s="153">
        <f>D9-47</f>
        <v>46070</v>
      </c>
      <c r="E10" s="153"/>
      <c r="F10" s="153"/>
      <c r="H10" s="13"/>
      <c r="I10" s="13"/>
    </row>
    <row r="11" spans="1:29" x14ac:dyDescent="0.25">
      <c r="A11" s="152" t="s">
        <v>15</v>
      </c>
      <c r="B11" s="152"/>
      <c r="C11" s="152"/>
      <c r="D11" s="153">
        <f>D9-46</f>
        <v>46071</v>
      </c>
      <c r="E11" s="153"/>
      <c r="F11" s="153"/>
      <c r="H11" s="13"/>
      <c r="I11" s="13"/>
    </row>
    <row r="12" spans="1:29" x14ac:dyDescent="0.25">
      <c r="A12" s="152" t="s">
        <v>16</v>
      </c>
      <c r="B12" s="152"/>
      <c r="C12" s="152"/>
      <c r="D12" s="153">
        <f>D9-2</f>
        <v>46115</v>
      </c>
      <c r="E12" s="153"/>
      <c r="F12" s="153"/>
    </row>
    <row r="13" spans="1:29" ht="15.75" customHeight="1" x14ac:dyDescent="0.25">
      <c r="A13" s="152" t="s">
        <v>17</v>
      </c>
      <c r="B13" s="152"/>
      <c r="C13" s="152"/>
      <c r="D13" s="153">
        <f>D9+60</f>
        <v>46177</v>
      </c>
      <c r="E13" s="153"/>
      <c r="F13" s="153"/>
    </row>
    <row r="14" spans="1:29" ht="15.75" customHeight="1" x14ac:dyDescent="0.25">
      <c r="D14" s="13"/>
      <c r="E14" s="13"/>
      <c r="F14" s="13"/>
    </row>
    <row r="15" spans="1:29" ht="24.75" customHeight="1" x14ac:dyDescent="0.25">
      <c r="A15" s="16"/>
      <c r="B15" s="16"/>
      <c r="C15" s="17" t="s">
        <v>18</v>
      </c>
      <c r="D15" s="18"/>
      <c r="E15" s="18"/>
      <c r="F15" s="18"/>
      <c r="G15" s="18"/>
      <c r="H15" s="18"/>
      <c r="I15" s="162">
        <v>2026</v>
      </c>
      <c r="J15" s="162"/>
      <c r="K15" s="162"/>
      <c r="N15" s="19" t="s">
        <v>19</v>
      </c>
    </row>
    <row r="16" spans="1:29" ht="17.25" customHeight="1" x14ac:dyDescent="0.25">
      <c r="A16" s="20"/>
      <c r="B16" s="20"/>
      <c r="C16" s="21" t="s">
        <v>20</v>
      </c>
      <c r="D16" s="22"/>
      <c r="E16" s="22"/>
      <c r="F16" s="22"/>
      <c r="G16" s="22"/>
      <c r="H16" s="18"/>
      <c r="I16" s="23"/>
      <c r="J16" s="23"/>
      <c r="K16" s="23"/>
    </row>
    <row r="17" spans="1:49" ht="7.5" customHeight="1" x14ac:dyDescent="0.25">
      <c r="A17" s="24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49" ht="19" x14ac:dyDescent="0.25">
      <c r="A18" s="26"/>
      <c r="B18" s="26"/>
      <c r="C18" s="27"/>
      <c r="D18" s="27"/>
      <c r="E18" s="27"/>
      <c r="F18" s="27"/>
      <c r="G18" s="27"/>
      <c r="H18" s="27"/>
      <c r="I18" s="27"/>
      <c r="J18" s="163" t="s">
        <v>21</v>
      </c>
      <c r="K18" s="163"/>
      <c r="L18" s="163"/>
      <c r="M18" s="163"/>
      <c r="N18" s="163"/>
      <c r="O18" s="163"/>
      <c r="P18" s="160">
        <f>I15</f>
        <v>2026</v>
      </c>
      <c r="Q18" s="160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49" x14ac:dyDescent="0.25">
      <c r="A19" s="28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9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49" s="32" customFormat="1" ht="18" customHeight="1" thickBot="1" x14ac:dyDescent="0.3">
      <c r="A20" s="30"/>
      <c r="B20" s="161" t="s">
        <v>22</v>
      </c>
      <c r="C20" s="161"/>
      <c r="D20" s="161"/>
      <c r="E20" s="161"/>
      <c r="F20" s="161"/>
      <c r="G20" s="161"/>
      <c r="H20" s="161"/>
      <c r="I20" s="161"/>
      <c r="J20" s="31"/>
      <c r="K20" s="32">
        <v>1</v>
      </c>
      <c r="S20" s="31"/>
      <c r="AB20" s="33"/>
      <c r="AC20" s="34"/>
    </row>
    <row r="21" spans="1:49" ht="18" customHeight="1" thickBot="1" x14ac:dyDescent="0.3">
      <c r="A21" s="35"/>
      <c r="B21" s="36" t="s">
        <v>23</v>
      </c>
      <c r="C21" s="37" t="s">
        <v>24</v>
      </c>
      <c r="D21" s="38" t="s">
        <v>25</v>
      </c>
      <c r="E21" s="39" t="s">
        <v>26</v>
      </c>
      <c r="F21" s="39" t="s">
        <v>27</v>
      </c>
      <c r="G21" s="39" t="s">
        <v>28</v>
      </c>
      <c r="H21" s="39" t="s">
        <v>29</v>
      </c>
      <c r="I21" s="40" t="s">
        <v>30</v>
      </c>
      <c r="J21" s="41" t="s">
        <v>24</v>
      </c>
      <c r="K21" s="38" t="s">
        <v>25</v>
      </c>
      <c r="L21" s="39" t="s">
        <v>26</v>
      </c>
      <c r="M21" s="39" t="s">
        <v>27</v>
      </c>
      <c r="N21" s="39" t="s">
        <v>28</v>
      </c>
      <c r="O21" s="39" t="s">
        <v>29</v>
      </c>
      <c r="P21" s="40" t="s">
        <v>30</v>
      </c>
      <c r="Q21" s="41" t="s">
        <v>24</v>
      </c>
      <c r="R21" s="38" t="s">
        <v>25</v>
      </c>
      <c r="S21" s="39" t="s">
        <v>26</v>
      </c>
      <c r="T21" s="39" t="s">
        <v>27</v>
      </c>
      <c r="U21" s="39" t="s">
        <v>28</v>
      </c>
      <c r="V21" s="39" t="s">
        <v>29</v>
      </c>
      <c r="W21" s="40" t="s">
        <v>30</v>
      </c>
      <c r="X21" s="41" t="s">
        <v>24</v>
      </c>
      <c r="Y21" s="38" t="s">
        <v>25</v>
      </c>
      <c r="Z21" s="39" t="s">
        <v>26</v>
      </c>
      <c r="AA21" s="39" t="s">
        <v>27</v>
      </c>
      <c r="AB21" s="39" t="s">
        <v>28</v>
      </c>
      <c r="AC21" s="39" t="s">
        <v>29</v>
      </c>
      <c r="AD21" s="40" t="s">
        <v>30</v>
      </c>
      <c r="AE21" s="41" t="s">
        <v>24</v>
      </c>
      <c r="AF21" s="38" t="s">
        <v>25</v>
      </c>
      <c r="AG21" s="39" t="s">
        <v>26</v>
      </c>
      <c r="AH21" s="39" t="s">
        <v>27</v>
      </c>
      <c r="AI21" s="39" t="s">
        <v>28</v>
      </c>
      <c r="AJ21" s="39" t="s">
        <v>29</v>
      </c>
      <c r="AK21" s="40" t="s">
        <v>30</v>
      </c>
      <c r="AL21" s="41" t="s">
        <v>24</v>
      </c>
      <c r="AM21" s="42" t="s">
        <v>25</v>
      </c>
      <c r="AN21" s="39" t="s">
        <v>26</v>
      </c>
      <c r="AO21" s="39" t="s">
        <v>27</v>
      </c>
      <c r="AP21" s="39" t="s">
        <v>28</v>
      </c>
      <c r="AQ21" s="39" t="s">
        <v>29</v>
      </c>
      <c r="AR21" s="41" t="s">
        <v>30</v>
      </c>
      <c r="AS21" s="43" t="s">
        <v>31</v>
      </c>
      <c r="AT21" s="44" t="s">
        <v>32</v>
      </c>
      <c r="AU21" s="45" t="s">
        <v>33</v>
      </c>
      <c r="AV21" s="46" t="s">
        <v>34</v>
      </c>
      <c r="AW21" s="7" t="s">
        <v>35</v>
      </c>
    </row>
    <row r="22" spans="1:49" ht="18" customHeight="1" thickBot="1" x14ac:dyDescent="0.3">
      <c r="A22" s="47"/>
      <c r="B22" s="48"/>
      <c r="C22" s="49">
        <f>IF($C$3=1,1,0)</f>
        <v>0</v>
      </c>
      <c r="D22" s="50">
        <f>IF($D$3=1,1, IF(C22&gt;0,C22+1, 0))</f>
        <v>0</v>
      </c>
      <c r="E22" s="51">
        <f>IF($E$3=1,1, IF(D22&gt;0,D22+1, 0))</f>
        <v>0</v>
      </c>
      <c r="F22" s="51">
        <f>IF($F$3=1,1, IF(E22&gt;0,E22+1, 0))</f>
        <v>0</v>
      </c>
      <c r="G22" s="51">
        <f>IF($G$3=1,1, IF(F22&gt;0,F22+1, 0))</f>
        <v>1</v>
      </c>
      <c r="H22" s="52">
        <f>IF($H$3=1,1, IF(G22&gt;0,G22+1, 0))</f>
        <v>2</v>
      </c>
      <c r="I22" s="53">
        <f>IF($I$3=1,1, IF(H22&gt;0,H22+1, 0))</f>
        <v>3</v>
      </c>
      <c r="J22" s="54">
        <f t="shared" ref="J22:AR22" si="0">IF(AND(I22&gt;0,I22&lt;31),I22+1,0)</f>
        <v>4</v>
      </c>
      <c r="K22" s="50">
        <f t="shared" si="0"/>
        <v>5</v>
      </c>
      <c r="L22" s="51">
        <f t="shared" si="0"/>
        <v>6</v>
      </c>
      <c r="M22" s="51">
        <f t="shared" si="0"/>
        <v>7</v>
      </c>
      <c r="N22" s="51">
        <f t="shared" si="0"/>
        <v>8</v>
      </c>
      <c r="O22" s="52">
        <f t="shared" si="0"/>
        <v>9</v>
      </c>
      <c r="P22" s="53">
        <f t="shared" si="0"/>
        <v>10</v>
      </c>
      <c r="Q22" s="54">
        <f t="shared" si="0"/>
        <v>11</v>
      </c>
      <c r="R22" s="50">
        <f t="shared" si="0"/>
        <v>12</v>
      </c>
      <c r="S22" s="51">
        <f t="shared" si="0"/>
        <v>13</v>
      </c>
      <c r="T22" s="51">
        <f t="shared" si="0"/>
        <v>14</v>
      </c>
      <c r="U22" s="51">
        <f t="shared" si="0"/>
        <v>15</v>
      </c>
      <c r="V22" s="52">
        <f t="shared" si="0"/>
        <v>16</v>
      </c>
      <c r="W22" s="53">
        <f t="shared" si="0"/>
        <v>17</v>
      </c>
      <c r="X22" s="54">
        <f t="shared" si="0"/>
        <v>18</v>
      </c>
      <c r="Y22" s="50">
        <f>IF(AND(X22&gt;0,X22&lt;31),X22+1,0)</f>
        <v>19</v>
      </c>
      <c r="Z22" s="51">
        <f t="shared" si="0"/>
        <v>20</v>
      </c>
      <c r="AA22" s="51">
        <f t="shared" si="0"/>
        <v>21</v>
      </c>
      <c r="AB22" s="51">
        <f t="shared" si="0"/>
        <v>22</v>
      </c>
      <c r="AC22" s="52">
        <f t="shared" si="0"/>
        <v>23</v>
      </c>
      <c r="AD22" s="53">
        <f t="shared" si="0"/>
        <v>24</v>
      </c>
      <c r="AE22" s="54">
        <f t="shared" si="0"/>
        <v>25</v>
      </c>
      <c r="AF22" s="50">
        <f t="shared" si="0"/>
        <v>26</v>
      </c>
      <c r="AG22" s="51">
        <f t="shared" si="0"/>
        <v>27</v>
      </c>
      <c r="AH22" s="51">
        <f t="shared" si="0"/>
        <v>28</v>
      </c>
      <c r="AI22" s="51">
        <f t="shared" si="0"/>
        <v>29</v>
      </c>
      <c r="AJ22" s="52">
        <f t="shared" si="0"/>
        <v>30</v>
      </c>
      <c r="AK22" s="53">
        <f t="shared" si="0"/>
        <v>31</v>
      </c>
      <c r="AL22" s="54">
        <f t="shared" si="0"/>
        <v>0</v>
      </c>
      <c r="AM22" s="55">
        <f t="shared" si="0"/>
        <v>0</v>
      </c>
      <c r="AN22" s="51">
        <f t="shared" si="0"/>
        <v>0</v>
      </c>
      <c r="AO22" s="51">
        <f t="shared" si="0"/>
        <v>0</v>
      </c>
      <c r="AP22" s="51">
        <f t="shared" si="0"/>
        <v>0</v>
      </c>
      <c r="AQ22" s="52">
        <f t="shared" si="0"/>
        <v>0</v>
      </c>
      <c r="AR22" s="56">
        <f t="shared" si="0"/>
        <v>0</v>
      </c>
    </row>
    <row r="23" spans="1:49" ht="18" customHeight="1" x14ac:dyDescent="0.25">
      <c r="A23" s="47"/>
      <c r="B23" s="57" t="s">
        <v>76</v>
      </c>
      <c r="C23" s="58"/>
      <c r="D23" s="59"/>
      <c r="E23" s="60"/>
      <c r="F23" s="60"/>
      <c r="G23" s="72"/>
      <c r="H23" s="72"/>
      <c r="I23" s="60"/>
      <c r="J23" s="62"/>
      <c r="K23" s="63"/>
      <c r="L23" s="60"/>
      <c r="M23" s="60"/>
      <c r="N23" s="60"/>
      <c r="O23" s="64"/>
      <c r="P23" s="65"/>
      <c r="Q23" s="62"/>
      <c r="R23" s="63"/>
      <c r="S23" s="60"/>
      <c r="T23" s="60"/>
      <c r="U23" s="60"/>
      <c r="V23" s="64"/>
      <c r="W23" s="65"/>
      <c r="X23" s="62"/>
      <c r="Y23" s="63"/>
      <c r="Z23" s="60"/>
      <c r="AA23" s="60"/>
      <c r="AB23" s="60"/>
      <c r="AC23" s="64"/>
      <c r="AD23" s="65"/>
      <c r="AE23" s="62"/>
      <c r="AF23" s="63"/>
      <c r="AG23" s="60"/>
      <c r="AH23" s="60"/>
      <c r="AI23" s="60"/>
      <c r="AJ23" s="60"/>
      <c r="AK23" s="65"/>
      <c r="AL23" s="62"/>
      <c r="AM23" s="66"/>
      <c r="AN23" s="60"/>
      <c r="AO23" s="60"/>
      <c r="AP23" s="60"/>
      <c r="AQ23" s="64"/>
      <c r="AR23" s="67"/>
      <c r="AS23" s="68">
        <f>COUNTIF($C23:$AR23,AS$21)</f>
        <v>0</v>
      </c>
      <c r="AT23" s="69">
        <f t="shared" ref="AS23:AW26" si="1">COUNTIF($C23:$AR23,AT$21)</f>
        <v>0</v>
      </c>
      <c r="AU23" s="69">
        <f t="shared" si="1"/>
        <v>0</v>
      </c>
      <c r="AV23" s="70">
        <f t="shared" si="1"/>
        <v>0</v>
      </c>
      <c r="AW23" s="7">
        <f>COUNTIF($C23:$AR23,AW$21)</f>
        <v>0</v>
      </c>
    </row>
    <row r="24" spans="1:49" ht="18" customHeight="1" x14ac:dyDescent="0.25">
      <c r="A24" s="47"/>
      <c r="B24" s="57" t="s">
        <v>77</v>
      </c>
      <c r="C24" s="71"/>
      <c r="D24" s="59"/>
      <c r="E24" s="72"/>
      <c r="F24" s="72"/>
      <c r="H24" s="72"/>
      <c r="I24" s="73"/>
      <c r="J24" s="74"/>
      <c r="K24" s="59"/>
      <c r="L24" s="72"/>
      <c r="M24" s="72"/>
      <c r="N24" s="73"/>
      <c r="O24" s="75"/>
      <c r="P24" s="76"/>
      <c r="Q24" s="74"/>
      <c r="R24" s="59"/>
      <c r="S24" s="72"/>
      <c r="T24" s="72"/>
      <c r="U24" s="72"/>
      <c r="V24" s="75"/>
      <c r="W24" s="76"/>
      <c r="X24" s="74"/>
      <c r="Y24" s="72"/>
      <c r="Z24" s="72"/>
      <c r="AA24" s="72"/>
      <c r="AB24" s="72"/>
      <c r="AC24" s="212"/>
      <c r="AD24" s="76"/>
      <c r="AE24" s="74"/>
      <c r="AF24" s="61" t="s">
        <v>32</v>
      </c>
      <c r="AG24" s="72"/>
      <c r="AH24" s="72"/>
      <c r="AI24" s="72"/>
      <c r="AJ24" s="75"/>
      <c r="AK24" s="76"/>
      <c r="AL24" s="74"/>
      <c r="AM24" s="77"/>
      <c r="AN24" s="72"/>
      <c r="AO24" s="72"/>
      <c r="AP24" s="72"/>
      <c r="AQ24" s="75"/>
      <c r="AR24" s="78"/>
      <c r="AS24" s="79">
        <f t="shared" si="1"/>
        <v>0</v>
      </c>
      <c r="AT24" s="80">
        <f t="shared" si="1"/>
        <v>1</v>
      </c>
      <c r="AU24" s="80">
        <f t="shared" si="1"/>
        <v>0</v>
      </c>
      <c r="AV24" s="81">
        <f t="shared" si="1"/>
        <v>0</v>
      </c>
      <c r="AW24" s="7">
        <f>COUNTIF($C24:$AR24,AW$21)</f>
        <v>0</v>
      </c>
    </row>
    <row r="25" spans="1:49" ht="18" customHeight="1" x14ac:dyDescent="0.25">
      <c r="A25" s="47"/>
      <c r="B25" s="57" t="s">
        <v>78</v>
      </c>
      <c r="C25" s="82"/>
      <c r="D25" s="59"/>
      <c r="E25" s="72"/>
      <c r="F25" s="83"/>
      <c r="G25" s="83"/>
      <c r="H25" s="83"/>
      <c r="I25" s="83"/>
      <c r="J25" s="74"/>
      <c r="K25" s="72"/>
      <c r="L25" s="72"/>
      <c r="M25" s="83"/>
      <c r="N25" s="83"/>
      <c r="O25" s="83"/>
      <c r="P25" s="76"/>
      <c r="Q25" s="74"/>
      <c r="R25" s="59"/>
      <c r="S25" s="83"/>
      <c r="T25" s="72"/>
      <c r="U25" s="72"/>
      <c r="V25" s="75"/>
      <c r="W25" s="76"/>
      <c r="X25" s="74"/>
      <c r="Y25" s="59"/>
      <c r="Z25" s="72"/>
      <c r="AA25" s="72"/>
      <c r="AB25" s="72"/>
      <c r="AC25" s="72"/>
      <c r="AD25" s="76"/>
      <c r="AE25" s="74"/>
      <c r="AF25" s="59"/>
      <c r="AG25" s="72"/>
      <c r="AH25" s="72"/>
      <c r="AI25" s="72"/>
      <c r="AJ25" s="75"/>
      <c r="AK25" s="76"/>
      <c r="AL25" s="74"/>
      <c r="AM25" s="77"/>
      <c r="AN25" s="72"/>
      <c r="AO25" s="72"/>
      <c r="AP25" s="72"/>
      <c r="AQ25" s="75"/>
      <c r="AR25" s="84"/>
      <c r="AS25" s="79">
        <f t="shared" si="1"/>
        <v>0</v>
      </c>
      <c r="AT25" s="80">
        <f t="shared" si="1"/>
        <v>0</v>
      </c>
      <c r="AU25" s="80">
        <f t="shared" si="1"/>
        <v>0</v>
      </c>
      <c r="AV25" s="81">
        <f t="shared" si="1"/>
        <v>0</v>
      </c>
      <c r="AW25" s="7">
        <f t="shared" si="1"/>
        <v>0</v>
      </c>
    </row>
    <row r="26" spans="1:49" ht="18" customHeight="1" thickBot="1" x14ac:dyDescent="0.3">
      <c r="A26" s="47"/>
      <c r="B26" s="89"/>
      <c r="C26" s="90"/>
      <c r="D26" s="91"/>
      <c r="E26" s="92"/>
      <c r="F26" s="92"/>
      <c r="G26" s="92"/>
      <c r="H26" s="92"/>
      <c r="I26" s="92"/>
      <c r="J26" s="93"/>
      <c r="K26" s="91"/>
      <c r="L26" s="92"/>
      <c r="M26" s="92"/>
      <c r="N26" s="92"/>
      <c r="O26" s="92"/>
      <c r="P26" s="94"/>
      <c r="Q26" s="93"/>
      <c r="R26" s="91"/>
      <c r="S26" s="95"/>
      <c r="T26" s="95"/>
      <c r="U26" s="95"/>
      <c r="V26" s="92"/>
      <c r="W26" s="94"/>
      <c r="X26" s="93"/>
      <c r="Y26" s="96"/>
      <c r="Z26" s="95"/>
      <c r="AA26" s="95"/>
      <c r="AB26" s="95"/>
      <c r="AC26" s="92"/>
      <c r="AD26" s="94"/>
      <c r="AE26" s="93"/>
      <c r="AF26" s="91"/>
      <c r="AG26" s="95"/>
      <c r="AH26" s="95"/>
      <c r="AI26" s="95"/>
      <c r="AJ26" s="97"/>
      <c r="AK26" s="94"/>
      <c r="AL26" s="93"/>
      <c r="AM26" s="98"/>
      <c r="AN26" s="95"/>
      <c r="AO26" s="95"/>
      <c r="AP26" s="95"/>
      <c r="AQ26" s="97"/>
      <c r="AR26" s="99"/>
      <c r="AS26" s="100">
        <f t="shared" si="1"/>
        <v>0</v>
      </c>
      <c r="AT26" s="101">
        <f t="shared" si="1"/>
        <v>0</v>
      </c>
      <c r="AU26" s="101">
        <f t="shared" si="1"/>
        <v>0</v>
      </c>
      <c r="AV26" s="102">
        <f t="shared" si="1"/>
        <v>0</v>
      </c>
      <c r="AW26" s="7">
        <f t="shared" si="1"/>
        <v>0</v>
      </c>
    </row>
    <row r="27" spans="1:49" ht="18" customHeight="1" x14ac:dyDescent="0.25">
      <c r="A27" s="47"/>
      <c r="B27" s="103"/>
      <c r="C27" s="25"/>
      <c r="D27" s="25"/>
      <c r="E27" s="25"/>
      <c r="F27" s="25"/>
      <c r="G27" s="25"/>
      <c r="H27" s="25"/>
      <c r="I27" s="25"/>
      <c r="J27" s="103"/>
      <c r="K27" s="103"/>
      <c r="L27" s="25"/>
      <c r="M27" s="25"/>
      <c r="N27" s="25"/>
      <c r="O27" s="25"/>
      <c r="P27" s="25"/>
      <c r="Q27" s="25"/>
      <c r="R27" s="25"/>
      <c r="S27" s="103"/>
      <c r="T27" s="103"/>
      <c r="U27" s="25"/>
      <c r="V27" s="25"/>
      <c r="W27" s="25"/>
      <c r="X27" s="25"/>
      <c r="Y27" s="25"/>
      <c r="Z27" s="25"/>
      <c r="AA27" s="25"/>
      <c r="AB27" s="25"/>
    </row>
    <row r="28" spans="1:49" ht="18" customHeight="1" thickBot="1" x14ac:dyDescent="0.3">
      <c r="A28" s="47"/>
      <c r="B28" s="161" t="s">
        <v>36</v>
      </c>
      <c r="C28" s="161"/>
      <c r="D28" s="161"/>
      <c r="E28" s="161"/>
      <c r="F28" s="161"/>
      <c r="G28" s="161"/>
      <c r="H28" s="161"/>
      <c r="I28" s="161"/>
      <c r="J28" s="103"/>
      <c r="K28" s="103">
        <v>2</v>
      </c>
      <c r="L28" s="25"/>
      <c r="M28" s="25"/>
      <c r="N28" s="25"/>
      <c r="O28" s="25"/>
      <c r="P28" s="25"/>
      <c r="Q28" s="25"/>
      <c r="R28" s="25"/>
      <c r="S28" s="103"/>
      <c r="T28" s="103"/>
      <c r="U28" s="25"/>
      <c r="V28" s="25"/>
      <c r="W28" s="25"/>
      <c r="X28" s="25"/>
      <c r="Y28" s="25"/>
      <c r="Z28" s="25"/>
      <c r="AA28" s="25"/>
      <c r="AB28" s="104"/>
      <c r="AC28" s="105"/>
    </row>
    <row r="29" spans="1:49" ht="18" customHeight="1" thickBot="1" x14ac:dyDescent="0.3">
      <c r="A29" s="47"/>
      <c r="B29" s="36" t="s">
        <v>23</v>
      </c>
      <c r="C29" s="37" t="s">
        <v>24</v>
      </c>
      <c r="D29" s="42" t="s">
        <v>25</v>
      </c>
      <c r="E29" s="39" t="s">
        <v>26</v>
      </c>
      <c r="F29" s="39" t="s">
        <v>27</v>
      </c>
      <c r="G29" s="39" t="s">
        <v>28</v>
      </c>
      <c r="H29" s="39" t="s">
        <v>29</v>
      </c>
      <c r="I29" s="40" t="s">
        <v>30</v>
      </c>
      <c r="J29" s="106" t="s">
        <v>24</v>
      </c>
      <c r="K29" s="38" t="s">
        <v>25</v>
      </c>
      <c r="L29" s="39" t="s">
        <v>26</v>
      </c>
      <c r="M29" s="39" t="s">
        <v>27</v>
      </c>
      <c r="N29" s="39" t="s">
        <v>28</v>
      </c>
      <c r="O29" s="39" t="s">
        <v>29</v>
      </c>
      <c r="P29" s="40" t="s">
        <v>30</v>
      </c>
      <c r="Q29" s="41" t="s">
        <v>24</v>
      </c>
      <c r="R29" s="42" t="s">
        <v>25</v>
      </c>
      <c r="S29" s="39" t="s">
        <v>26</v>
      </c>
      <c r="T29" s="39" t="s">
        <v>27</v>
      </c>
      <c r="U29" s="39" t="s">
        <v>28</v>
      </c>
      <c r="V29" s="39" t="s">
        <v>29</v>
      </c>
      <c r="W29" s="40" t="s">
        <v>30</v>
      </c>
      <c r="X29" s="106" t="s">
        <v>24</v>
      </c>
      <c r="Y29" s="38" t="s">
        <v>25</v>
      </c>
      <c r="Z29" s="39" t="s">
        <v>26</v>
      </c>
      <c r="AA29" s="39" t="s">
        <v>27</v>
      </c>
      <c r="AB29" s="39" t="s">
        <v>28</v>
      </c>
      <c r="AC29" s="39" t="s">
        <v>29</v>
      </c>
      <c r="AD29" s="40" t="s">
        <v>30</v>
      </c>
      <c r="AE29" s="41" t="s">
        <v>24</v>
      </c>
      <c r="AF29" s="42" t="s">
        <v>25</v>
      </c>
      <c r="AG29" s="39" t="s">
        <v>26</v>
      </c>
      <c r="AH29" s="39" t="s">
        <v>27</v>
      </c>
      <c r="AI29" s="39" t="s">
        <v>28</v>
      </c>
      <c r="AJ29" s="39" t="s">
        <v>29</v>
      </c>
      <c r="AK29" s="40" t="s">
        <v>30</v>
      </c>
      <c r="AL29" s="106" t="s">
        <v>24</v>
      </c>
      <c r="AM29" s="38" t="s">
        <v>25</v>
      </c>
      <c r="AN29" s="39" t="s">
        <v>26</v>
      </c>
      <c r="AO29" s="39" t="s">
        <v>27</v>
      </c>
      <c r="AP29" s="39" t="s">
        <v>28</v>
      </c>
      <c r="AQ29" s="39" t="s">
        <v>29</v>
      </c>
      <c r="AR29" s="41" t="s">
        <v>30</v>
      </c>
      <c r="AS29" s="45" t="str">
        <f>+AS21</f>
        <v>F26</v>
      </c>
      <c r="AT29" s="45" t="str">
        <f>+AT21</f>
        <v>F25</v>
      </c>
      <c r="AU29" s="45" t="str">
        <f>+AU21</f>
        <v>DFT</v>
      </c>
      <c r="AV29" s="46" t="s">
        <v>34</v>
      </c>
      <c r="AW29" s="7" t="s">
        <v>35</v>
      </c>
    </row>
    <row r="30" spans="1:49" ht="18" customHeight="1" thickBot="1" x14ac:dyDescent="0.3">
      <c r="A30" s="47"/>
      <c r="B30" s="48"/>
      <c r="C30" s="49">
        <f>IF($L$3=1,1,0)</f>
        <v>1</v>
      </c>
      <c r="D30" s="55">
        <f>IF($M$3=1,1, IF(C30&gt;0,C30+1, 0))</f>
        <v>2</v>
      </c>
      <c r="E30" s="51">
        <f>IF($N$3=1,1, IF(D30&gt;0,D30+1, 0))</f>
        <v>3</v>
      </c>
      <c r="F30" s="51">
        <f>IF($O$3=1,1, IF(E30&gt;0,E30+1, 0))</f>
        <v>4</v>
      </c>
      <c r="G30" s="51">
        <f>IF($P$3=1,1, IF(F30&gt;0,F30+1, 0))</f>
        <v>5</v>
      </c>
      <c r="H30" s="52">
        <f>IF($Q$3=1,1, IF(G30&gt;0,G30+1, 0))</f>
        <v>6</v>
      </c>
      <c r="I30" s="53">
        <f>IF($R$3=1,1, IF(H30&gt;0,H30+1, 0))</f>
        <v>7</v>
      </c>
      <c r="J30" s="107">
        <f t="shared" ref="J30:AR30" si="2">IF(AND(I30&gt;0,I30&lt;$L$2),I30+1,0)</f>
        <v>8</v>
      </c>
      <c r="K30" s="50">
        <f t="shared" si="2"/>
        <v>9</v>
      </c>
      <c r="L30" s="51">
        <f t="shared" si="2"/>
        <v>10</v>
      </c>
      <c r="M30" s="51">
        <f t="shared" si="2"/>
        <v>11</v>
      </c>
      <c r="N30" s="51">
        <f t="shared" si="2"/>
        <v>12</v>
      </c>
      <c r="O30" s="52">
        <f t="shared" si="2"/>
        <v>13</v>
      </c>
      <c r="P30" s="53">
        <f t="shared" si="2"/>
        <v>14</v>
      </c>
      <c r="Q30" s="54">
        <f t="shared" si="2"/>
        <v>15</v>
      </c>
      <c r="R30" s="55">
        <f t="shared" si="2"/>
        <v>16</v>
      </c>
      <c r="S30" s="151">
        <f t="shared" si="2"/>
        <v>17</v>
      </c>
      <c r="T30" s="51">
        <f t="shared" si="2"/>
        <v>18</v>
      </c>
      <c r="U30" s="51">
        <f t="shared" si="2"/>
        <v>19</v>
      </c>
      <c r="V30" s="52">
        <f t="shared" si="2"/>
        <v>20</v>
      </c>
      <c r="W30" s="53">
        <f t="shared" si="2"/>
        <v>21</v>
      </c>
      <c r="X30" s="107">
        <f t="shared" si="2"/>
        <v>22</v>
      </c>
      <c r="Y30" s="50">
        <f>IF(AND(X30&gt;0,X30&lt;$L$2),X30+1,0)</f>
        <v>23</v>
      </c>
      <c r="Z30" s="51">
        <f t="shared" si="2"/>
        <v>24</v>
      </c>
      <c r="AA30" s="51">
        <f t="shared" si="2"/>
        <v>25</v>
      </c>
      <c r="AB30" s="51">
        <f t="shared" si="2"/>
        <v>26</v>
      </c>
      <c r="AC30" s="52">
        <f t="shared" si="2"/>
        <v>27</v>
      </c>
      <c r="AD30" s="53">
        <f t="shared" si="2"/>
        <v>28</v>
      </c>
      <c r="AE30" s="54">
        <f t="shared" si="2"/>
        <v>0</v>
      </c>
      <c r="AF30" s="55">
        <f t="shared" si="2"/>
        <v>0</v>
      </c>
      <c r="AG30" s="51">
        <f t="shared" si="2"/>
        <v>0</v>
      </c>
      <c r="AH30" s="51">
        <f t="shared" si="2"/>
        <v>0</v>
      </c>
      <c r="AI30" s="51">
        <f t="shared" si="2"/>
        <v>0</v>
      </c>
      <c r="AJ30" s="52">
        <f t="shared" si="2"/>
        <v>0</v>
      </c>
      <c r="AK30" s="53">
        <f t="shared" si="2"/>
        <v>0</v>
      </c>
      <c r="AL30" s="108">
        <f t="shared" si="2"/>
        <v>0</v>
      </c>
      <c r="AM30" s="50">
        <f t="shared" si="2"/>
        <v>0</v>
      </c>
      <c r="AN30" s="51">
        <f t="shared" si="2"/>
        <v>0</v>
      </c>
      <c r="AO30" s="51">
        <f t="shared" si="2"/>
        <v>0</v>
      </c>
      <c r="AP30" s="51">
        <f t="shared" si="2"/>
        <v>0</v>
      </c>
      <c r="AQ30" s="52">
        <f t="shared" si="2"/>
        <v>0</v>
      </c>
      <c r="AR30" s="56">
        <f t="shared" si="2"/>
        <v>0</v>
      </c>
    </row>
    <row r="31" spans="1:49" ht="18" customHeight="1" x14ac:dyDescent="0.25">
      <c r="A31" s="47"/>
      <c r="B31" s="109" t="str">
        <f>+$B$23</f>
        <v>Pedro</v>
      </c>
      <c r="C31" s="58"/>
      <c r="D31" s="66"/>
      <c r="E31" s="60"/>
      <c r="F31" s="60"/>
      <c r="G31" s="60"/>
      <c r="H31" s="75"/>
      <c r="I31" s="76"/>
      <c r="J31" s="78"/>
      <c r="K31" s="59"/>
      <c r="L31" s="72"/>
      <c r="M31" s="72"/>
      <c r="N31" s="72"/>
      <c r="O31" s="75"/>
      <c r="P31" s="76"/>
      <c r="Q31" s="62"/>
      <c r="R31" s="72"/>
      <c r="S31" s="72"/>
      <c r="T31" s="72"/>
      <c r="U31" s="72"/>
      <c r="V31" s="75"/>
      <c r="W31" s="65"/>
      <c r="X31" s="67"/>
      <c r="Y31" s="63"/>
      <c r="Z31" s="60"/>
      <c r="AA31" s="60"/>
      <c r="AB31" s="60"/>
      <c r="AC31" s="64"/>
      <c r="AD31" s="65"/>
      <c r="AE31" s="62"/>
      <c r="AF31" s="66"/>
      <c r="AG31" s="72"/>
      <c r="AH31" s="60"/>
      <c r="AI31" s="60"/>
      <c r="AJ31" s="64"/>
      <c r="AK31" s="65"/>
      <c r="AL31" s="67"/>
      <c r="AM31" s="63"/>
      <c r="AN31" s="60"/>
      <c r="AO31" s="60"/>
      <c r="AP31" s="60"/>
      <c r="AQ31" s="64"/>
      <c r="AR31" s="62"/>
      <c r="AS31" s="68">
        <f t="shared" ref="AS31:AW34" si="3">COUNTIF($C31:$AR31,AS$21)</f>
        <v>0</v>
      </c>
      <c r="AT31" s="69">
        <f t="shared" si="3"/>
        <v>0</v>
      </c>
      <c r="AU31" s="69">
        <f t="shared" si="3"/>
        <v>0</v>
      </c>
      <c r="AV31" s="70">
        <f t="shared" si="3"/>
        <v>0</v>
      </c>
      <c r="AW31" s="7">
        <f>COUNTIF($C31:$AR31,AW$21)</f>
        <v>0</v>
      </c>
    </row>
    <row r="32" spans="1:49" ht="18" customHeight="1" x14ac:dyDescent="0.25">
      <c r="A32" s="47"/>
      <c r="B32" s="57" t="str">
        <f>+$B$24</f>
        <v>Miguel</v>
      </c>
      <c r="C32" s="71"/>
      <c r="D32" s="61" t="s">
        <v>32</v>
      </c>
      <c r="E32" s="61" t="s">
        <v>32</v>
      </c>
      <c r="F32" s="61" t="s">
        <v>32</v>
      </c>
      <c r="G32" s="61" t="s">
        <v>32</v>
      </c>
      <c r="H32" s="75"/>
      <c r="I32" s="76"/>
      <c r="J32" s="78"/>
      <c r="K32" s="59"/>
      <c r="L32" s="72"/>
      <c r="M32" s="72"/>
      <c r="N32" s="72"/>
      <c r="O32" s="75"/>
      <c r="P32" s="76"/>
      <c r="Q32" s="74"/>
      <c r="R32" s="212"/>
      <c r="S32" s="61" t="s">
        <v>32</v>
      </c>
      <c r="T32" s="61" t="s">
        <v>32</v>
      </c>
      <c r="U32" s="72"/>
      <c r="V32" s="72"/>
      <c r="W32" s="76"/>
      <c r="X32" s="78"/>
      <c r="Y32" s="59"/>
      <c r="Z32" s="72"/>
      <c r="AA32" s="72"/>
      <c r="AB32" s="72"/>
      <c r="AC32" s="72"/>
      <c r="AD32" s="76"/>
      <c r="AE32" s="74"/>
      <c r="AF32" s="77"/>
      <c r="AG32" s="72"/>
      <c r="AH32" s="72"/>
      <c r="AI32" s="72"/>
      <c r="AJ32" s="75"/>
      <c r="AK32" s="76"/>
      <c r="AL32" s="78"/>
      <c r="AM32" s="59"/>
      <c r="AN32" s="72"/>
      <c r="AO32" s="72"/>
      <c r="AP32" s="72"/>
      <c r="AQ32" s="75"/>
      <c r="AR32" s="74"/>
      <c r="AS32" s="79">
        <f t="shared" si="3"/>
        <v>0</v>
      </c>
      <c r="AT32" s="80">
        <f t="shared" si="3"/>
        <v>6</v>
      </c>
      <c r="AU32" s="80">
        <f t="shared" si="3"/>
        <v>0</v>
      </c>
      <c r="AV32" s="81">
        <f t="shared" si="3"/>
        <v>0</v>
      </c>
      <c r="AW32" s="7">
        <f>COUNTIF($C32:$AR32,AW$21)</f>
        <v>0</v>
      </c>
    </row>
    <row r="33" spans="1:49" ht="18" customHeight="1" x14ac:dyDescent="0.25">
      <c r="A33" s="47"/>
      <c r="B33" s="57" t="str">
        <f>+$B$25</f>
        <v>Gichelson</v>
      </c>
      <c r="C33" s="82"/>
      <c r="D33" s="77"/>
      <c r="E33" s="72"/>
      <c r="F33" s="72"/>
      <c r="G33" s="72"/>
      <c r="H33" s="75"/>
      <c r="I33" s="76"/>
      <c r="J33" s="78"/>
      <c r="K33" s="59"/>
      <c r="L33" s="72"/>
      <c r="M33" s="72"/>
      <c r="N33" s="72"/>
      <c r="O33" s="72"/>
      <c r="P33" s="76"/>
      <c r="Q33" s="74"/>
      <c r="R33" s="83"/>
      <c r="S33" s="72"/>
      <c r="T33" s="72"/>
      <c r="U33" s="72"/>
      <c r="V33" s="75"/>
      <c r="W33" s="76"/>
      <c r="X33" s="78"/>
      <c r="Y33" s="59"/>
      <c r="Z33" s="72"/>
      <c r="AA33" s="72"/>
      <c r="AB33" s="72"/>
      <c r="AC33" s="77"/>
      <c r="AD33" s="76"/>
      <c r="AE33" s="74"/>
      <c r="AF33" s="77"/>
      <c r="AG33" s="72"/>
      <c r="AH33" s="72"/>
      <c r="AI33" s="75"/>
      <c r="AJ33" s="75"/>
      <c r="AK33" s="76"/>
      <c r="AL33" s="78"/>
      <c r="AM33" s="59"/>
      <c r="AN33" s="110"/>
      <c r="AO33" s="110"/>
      <c r="AP33" s="110"/>
      <c r="AQ33" s="111"/>
      <c r="AR33" s="112"/>
      <c r="AS33" s="79">
        <f t="shared" si="3"/>
        <v>0</v>
      </c>
      <c r="AT33" s="80">
        <f t="shared" si="3"/>
        <v>0</v>
      </c>
      <c r="AU33" s="80">
        <f t="shared" si="3"/>
        <v>0</v>
      </c>
      <c r="AV33" s="81">
        <f t="shared" si="3"/>
        <v>0</v>
      </c>
      <c r="AW33" s="7">
        <f t="shared" si="3"/>
        <v>0</v>
      </c>
    </row>
    <row r="34" spans="1:49" ht="18" customHeight="1" thickBot="1" x14ac:dyDescent="0.3">
      <c r="A34" s="47"/>
      <c r="B34" s="89"/>
      <c r="C34" s="90"/>
      <c r="D34" s="91"/>
      <c r="E34" s="92"/>
      <c r="F34" s="92"/>
      <c r="G34" s="92"/>
      <c r="H34" s="92"/>
      <c r="I34" s="92"/>
      <c r="J34" s="93"/>
      <c r="K34" s="91"/>
      <c r="L34" s="92"/>
      <c r="M34" s="92"/>
      <c r="N34" s="92"/>
      <c r="O34" s="92"/>
      <c r="P34" s="94"/>
      <c r="Q34" s="93"/>
      <c r="R34" s="91"/>
      <c r="S34" s="95"/>
      <c r="T34" s="95"/>
      <c r="U34" s="95"/>
      <c r="V34" s="92"/>
      <c r="W34" s="94"/>
      <c r="X34" s="93"/>
      <c r="Y34" s="96"/>
      <c r="Z34" s="95"/>
      <c r="AA34" s="95"/>
      <c r="AB34" s="95"/>
      <c r="AC34" s="92"/>
      <c r="AD34" s="94"/>
      <c r="AE34" s="93"/>
      <c r="AF34" s="91"/>
      <c r="AG34" s="95"/>
      <c r="AH34" s="95"/>
      <c r="AI34" s="95"/>
      <c r="AJ34" s="97"/>
      <c r="AK34" s="94"/>
      <c r="AL34" s="93"/>
      <c r="AM34" s="98"/>
      <c r="AN34" s="95"/>
      <c r="AO34" s="95"/>
      <c r="AP34" s="95"/>
      <c r="AQ34" s="97"/>
      <c r="AR34" s="99"/>
      <c r="AS34" s="100">
        <f t="shared" si="3"/>
        <v>0</v>
      </c>
      <c r="AT34" s="101">
        <f t="shared" si="3"/>
        <v>0</v>
      </c>
      <c r="AU34" s="101">
        <f t="shared" si="3"/>
        <v>0</v>
      </c>
      <c r="AV34" s="102">
        <f t="shared" si="3"/>
        <v>0</v>
      </c>
      <c r="AW34" s="7">
        <f t="shared" si="3"/>
        <v>0</v>
      </c>
    </row>
    <row r="35" spans="1:49" ht="18" customHeight="1" x14ac:dyDescent="0.25">
      <c r="A35" s="47"/>
      <c r="B35" s="103"/>
      <c r="C35" s="25"/>
      <c r="D35" s="25"/>
      <c r="E35" s="25"/>
      <c r="F35" s="25"/>
      <c r="G35" s="25"/>
      <c r="H35" s="25"/>
      <c r="I35" s="25"/>
      <c r="J35" s="103"/>
      <c r="K35" s="103"/>
      <c r="L35" s="25"/>
      <c r="M35" s="25"/>
      <c r="N35" s="25"/>
      <c r="O35" s="25"/>
      <c r="P35" s="25"/>
      <c r="Q35" s="25"/>
      <c r="R35" s="25"/>
      <c r="S35" s="103"/>
      <c r="T35" s="103"/>
      <c r="U35" s="25"/>
      <c r="V35" s="25"/>
      <c r="W35" s="25"/>
      <c r="X35" s="25"/>
      <c r="Y35" s="25"/>
      <c r="Z35" s="25"/>
      <c r="AA35" s="25"/>
      <c r="AB35" s="25"/>
    </row>
    <row r="36" spans="1:49" ht="18" customHeight="1" thickBot="1" x14ac:dyDescent="0.3">
      <c r="A36" s="47"/>
      <c r="B36" s="161" t="s">
        <v>38</v>
      </c>
      <c r="C36" s="161"/>
      <c r="D36" s="161"/>
      <c r="E36" s="161"/>
      <c r="F36" s="161"/>
      <c r="G36" s="161"/>
      <c r="H36" s="161"/>
      <c r="I36" s="161"/>
      <c r="J36" s="103"/>
      <c r="K36" s="103">
        <v>3</v>
      </c>
      <c r="L36" s="25"/>
      <c r="M36" s="25"/>
      <c r="N36" s="25"/>
      <c r="O36" s="25"/>
      <c r="P36" s="25"/>
      <c r="Q36" s="25"/>
      <c r="R36" s="25"/>
      <c r="S36" s="103"/>
      <c r="T36" s="103"/>
      <c r="U36" s="25"/>
      <c r="V36" s="25"/>
      <c r="W36" s="25"/>
      <c r="X36" s="25"/>
      <c r="Y36" s="25"/>
      <c r="Z36" s="25"/>
      <c r="AA36" s="25"/>
      <c r="AB36" s="104"/>
    </row>
    <row r="37" spans="1:49" ht="18" customHeight="1" thickBot="1" x14ac:dyDescent="0.3">
      <c r="A37" s="47"/>
      <c r="B37" s="36" t="s">
        <v>23</v>
      </c>
      <c r="C37" s="37" t="s">
        <v>24</v>
      </c>
      <c r="D37" s="38" t="s">
        <v>25</v>
      </c>
      <c r="E37" s="39" t="s">
        <v>26</v>
      </c>
      <c r="F37" s="39" t="s">
        <v>27</v>
      </c>
      <c r="G37" s="39" t="s">
        <v>28</v>
      </c>
      <c r="H37" s="39" t="s">
        <v>29</v>
      </c>
      <c r="I37" s="40" t="s">
        <v>30</v>
      </c>
      <c r="J37" s="41" t="s">
        <v>24</v>
      </c>
      <c r="K37" s="42" t="s">
        <v>25</v>
      </c>
      <c r="L37" s="39" t="s">
        <v>26</v>
      </c>
      <c r="M37" s="39" t="s">
        <v>27</v>
      </c>
      <c r="N37" s="39" t="s">
        <v>28</v>
      </c>
      <c r="O37" s="39" t="s">
        <v>29</v>
      </c>
      <c r="P37" s="40" t="s">
        <v>30</v>
      </c>
      <c r="Q37" s="41" t="s">
        <v>24</v>
      </c>
      <c r="R37" s="42" t="s">
        <v>25</v>
      </c>
      <c r="S37" s="39" t="s">
        <v>26</v>
      </c>
      <c r="T37" s="39" t="s">
        <v>27</v>
      </c>
      <c r="U37" s="39" t="s">
        <v>28</v>
      </c>
      <c r="V37" s="39" t="s">
        <v>29</v>
      </c>
      <c r="W37" s="40" t="s">
        <v>30</v>
      </c>
      <c r="X37" s="106" t="s">
        <v>24</v>
      </c>
      <c r="Y37" s="38" t="s">
        <v>25</v>
      </c>
      <c r="Z37" s="39" t="s">
        <v>26</v>
      </c>
      <c r="AA37" s="39" t="s">
        <v>27</v>
      </c>
      <c r="AB37" s="39" t="s">
        <v>28</v>
      </c>
      <c r="AC37" s="39" t="s">
        <v>29</v>
      </c>
      <c r="AD37" s="40" t="s">
        <v>30</v>
      </c>
      <c r="AE37" s="41" t="s">
        <v>24</v>
      </c>
      <c r="AF37" s="42" t="s">
        <v>25</v>
      </c>
      <c r="AG37" s="39" t="s">
        <v>26</v>
      </c>
      <c r="AH37" s="39" t="s">
        <v>27</v>
      </c>
      <c r="AI37" s="39" t="s">
        <v>28</v>
      </c>
      <c r="AJ37" s="39" t="s">
        <v>29</v>
      </c>
      <c r="AK37" s="40" t="s">
        <v>30</v>
      </c>
      <c r="AL37" s="106" t="s">
        <v>24</v>
      </c>
      <c r="AM37" s="38" t="s">
        <v>25</v>
      </c>
      <c r="AN37" s="39" t="s">
        <v>26</v>
      </c>
      <c r="AO37" s="39" t="s">
        <v>27</v>
      </c>
      <c r="AP37" s="39" t="s">
        <v>28</v>
      </c>
      <c r="AQ37" s="39" t="s">
        <v>29</v>
      </c>
      <c r="AR37" s="41" t="s">
        <v>30</v>
      </c>
      <c r="AS37" s="45" t="str">
        <f>+AS29</f>
        <v>F26</v>
      </c>
      <c r="AT37" s="45" t="str">
        <f>+AT29</f>
        <v>F25</v>
      </c>
      <c r="AU37" s="45" t="str">
        <f>+AU29</f>
        <v>DFT</v>
      </c>
      <c r="AV37" s="46" t="s">
        <v>34</v>
      </c>
      <c r="AW37" s="7" t="s">
        <v>35</v>
      </c>
    </row>
    <row r="38" spans="1:49" ht="18" customHeight="1" thickBot="1" x14ac:dyDescent="0.3">
      <c r="A38" s="47"/>
      <c r="B38" s="48"/>
      <c r="C38" s="49">
        <f>IF($U$3=1,1,0)</f>
        <v>1</v>
      </c>
      <c r="D38" s="50">
        <f>IF($V$3=1,1, IF(C38&gt;0,C38+1, 0))</f>
        <v>2</v>
      </c>
      <c r="E38" s="51">
        <f>IF($W$3=1,1, IF(D38&gt;0,D38+1, 0))</f>
        <v>3</v>
      </c>
      <c r="F38" s="51">
        <f>IF($X$3=1,1, IF(E38&gt;0,E38+1, 0))</f>
        <v>4</v>
      </c>
      <c r="G38" s="51">
        <f>IF($Y$3=1,1, IF(F38&gt;0,F38+1, 0))</f>
        <v>5</v>
      </c>
      <c r="H38" s="52">
        <f>IF($Z$3=1,1, IF(G38&gt;0,G38+1, 0))</f>
        <v>6</v>
      </c>
      <c r="I38" s="53">
        <f>IF($AA$3=1,1, IF(H38&gt;0,H38+1, 0))</f>
        <v>7</v>
      </c>
      <c r="J38" s="54">
        <f t="shared" ref="J38:AR38" si="4">IF(AND(I38&gt;0,I38&lt;31),I38+1,0)</f>
        <v>8</v>
      </c>
      <c r="K38" s="55">
        <f t="shared" si="4"/>
        <v>9</v>
      </c>
      <c r="L38" s="51">
        <f t="shared" si="4"/>
        <v>10</v>
      </c>
      <c r="M38" s="51">
        <f t="shared" si="4"/>
        <v>11</v>
      </c>
      <c r="N38" s="51">
        <f t="shared" si="4"/>
        <v>12</v>
      </c>
      <c r="O38" s="52">
        <f t="shared" si="4"/>
        <v>13</v>
      </c>
      <c r="P38" s="53">
        <f t="shared" si="4"/>
        <v>14</v>
      </c>
      <c r="Q38" s="54">
        <f t="shared" si="4"/>
        <v>15</v>
      </c>
      <c r="R38" s="55">
        <f t="shared" si="4"/>
        <v>16</v>
      </c>
      <c r="S38" s="51">
        <f t="shared" si="4"/>
        <v>17</v>
      </c>
      <c r="T38" s="51">
        <f t="shared" si="4"/>
        <v>18</v>
      </c>
      <c r="U38" s="51">
        <f t="shared" si="4"/>
        <v>19</v>
      </c>
      <c r="V38" s="52">
        <f t="shared" si="4"/>
        <v>20</v>
      </c>
      <c r="W38" s="53">
        <f t="shared" si="4"/>
        <v>21</v>
      </c>
      <c r="X38" s="107">
        <f t="shared" si="4"/>
        <v>22</v>
      </c>
      <c r="Y38" s="50">
        <f>IF(AND(X38&gt;0,X38&lt;31),X38+1,0)</f>
        <v>23</v>
      </c>
      <c r="Z38" s="51">
        <f t="shared" si="4"/>
        <v>24</v>
      </c>
      <c r="AA38" s="51">
        <f t="shared" si="4"/>
        <v>25</v>
      </c>
      <c r="AB38" s="51">
        <f t="shared" si="4"/>
        <v>26</v>
      </c>
      <c r="AC38" s="52">
        <f t="shared" si="4"/>
        <v>27</v>
      </c>
      <c r="AD38" s="53">
        <f t="shared" si="4"/>
        <v>28</v>
      </c>
      <c r="AE38" s="54">
        <f t="shared" si="4"/>
        <v>29</v>
      </c>
      <c r="AF38" s="55">
        <f t="shared" si="4"/>
        <v>30</v>
      </c>
      <c r="AG38" s="51">
        <f t="shared" si="4"/>
        <v>31</v>
      </c>
      <c r="AH38" s="51">
        <f t="shared" si="4"/>
        <v>0</v>
      </c>
      <c r="AI38" s="51">
        <f t="shared" si="4"/>
        <v>0</v>
      </c>
      <c r="AJ38" s="52">
        <f t="shared" si="4"/>
        <v>0</v>
      </c>
      <c r="AK38" s="53">
        <f t="shared" si="4"/>
        <v>0</v>
      </c>
      <c r="AL38" s="108">
        <f t="shared" si="4"/>
        <v>0</v>
      </c>
      <c r="AM38" s="50">
        <f t="shared" si="4"/>
        <v>0</v>
      </c>
      <c r="AN38" s="51">
        <f t="shared" si="4"/>
        <v>0</v>
      </c>
      <c r="AO38" s="51">
        <f t="shared" si="4"/>
        <v>0</v>
      </c>
      <c r="AP38" s="51">
        <f t="shared" si="4"/>
        <v>0</v>
      </c>
      <c r="AQ38" s="52">
        <f t="shared" si="4"/>
        <v>0</v>
      </c>
      <c r="AR38" s="56">
        <f t="shared" si="4"/>
        <v>0</v>
      </c>
    </row>
    <row r="39" spans="1:49" ht="18" customHeight="1" x14ac:dyDescent="0.25">
      <c r="A39" s="47"/>
      <c r="B39" s="109" t="str">
        <f>+$B$23</f>
        <v>Pedro</v>
      </c>
      <c r="C39" s="119"/>
      <c r="D39" s="63"/>
      <c r="E39" s="60"/>
      <c r="F39" s="60"/>
      <c r="G39" s="60"/>
      <c r="H39" s="64"/>
      <c r="I39" s="65"/>
      <c r="J39" s="62"/>
      <c r="K39" s="77"/>
      <c r="L39" s="60"/>
      <c r="M39" s="72"/>
      <c r="N39" s="60"/>
      <c r="O39" s="64"/>
      <c r="P39" s="65"/>
      <c r="Q39" s="62"/>
      <c r="R39" s="66"/>
      <c r="S39" s="60"/>
      <c r="T39" s="60"/>
      <c r="U39" s="60"/>
      <c r="V39" s="64"/>
      <c r="W39" s="65"/>
      <c r="X39" s="67"/>
      <c r="Y39" s="63"/>
      <c r="Z39" s="60"/>
      <c r="AA39" s="60"/>
      <c r="AB39" s="60"/>
      <c r="AC39" s="64"/>
      <c r="AD39" s="65"/>
      <c r="AE39" s="62"/>
      <c r="AF39" s="66"/>
      <c r="AG39" s="60"/>
      <c r="AH39" s="60"/>
      <c r="AI39" s="60"/>
      <c r="AJ39" s="64"/>
      <c r="AK39" s="65"/>
      <c r="AL39" s="67"/>
      <c r="AM39" s="63"/>
      <c r="AN39" s="60"/>
      <c r="AO39" s="60"/>
      <c r="AP39" s="60"/>
      <c r="AQ39" s="64"/>
      <c r="AR39" s="62"/>
      <c r="AS39" s="68">
        <f t="shared" ref="AS39:AW42" si="5">COUNTIF($C39:$AR39,AS$21)</f>
        <v>0</v>
      </c>
      <c r="AT39" s="69">
        <f t="shared" si="5"/>
        <v>0</v>
      </c>
      <c r="AU39" s="69">
        <f t="shared" si="5"/>
        <v>0</v>
      </c>
      <c r="AV39" s="70">
        <f t="shared" si="5"/>
        <v>0</v>
      </c>
      <c r="AW39" s="7">
        <f>COUNTIF($C39:$AR39,AW$21)</f>
        <v>0</v>
      </c>
    </row>
    <row r="40" spans="1:49" ht="18" customHeight="1" thickBot="1" x14ac:dyDescent="0.3">
      <c r="A40" s="47"/>
      <c r="B40" s="57" t="str">
        <f>+$B$24</f>
        <v>Miguel</v>
      </c>
      <c r="C40" s="71"/>
      <c r="D40" s="59"/>
      <c r="E40" s="72"/>
      <c r="F40" s="72"/>
      <c r="G40" s="72"/>
      <c r="H40" s="75"/>
      <c r="I40" s="76"/>
      <c r="J40" s="74"/>
      <c r="K40" s="77"/>
      <c r="L40" s="72"/>
      <c r="M40" s="72"/>
      <c r="N40" s="72"/>
      <c r="O40" s="75"/>
      <c r="P40" s="76"/>
      <c r="Q40" s="74"/>
      <c r="R40" s="77"/>
      <c r="S40" s="72"/>
      <c r="T40" s="72"/>
      <c r="U40" s="72"/>
      <c r="V40" s="75"/>
      <c r="W40" s="76"/>
      <c r="X40" s="78"/>
      <c r="Y40" s="59"/>
      <c r="Z40" s="72"/>
      <c r="AA40" s="72"/>
      <c r="AB40" s="72"/>
      <c r="AC40" s="75"/>
      <c r="AD40" s="76"/>
      <c r="AE40" s="74"/>
      <c r="AF40" s="77"/>
      <c r="AG40" s="72"/>
      <c r="AH40" s="72"/>
      <c r="AI40" s="72"/>
      <c r="AJ40" s="75"/>
      <c r="AK40" s="76"/>
      <c r="AL40" s="78"/>
      <c r="AM40" s="59"/>
      <c r="AN40" s="72"/>
      <c r="AO40" s="72"/>
      <c r="AP40" s="72"/>
      <c r="AQ40" s="75"/>
      <c r="AR40" s="74"/>
      <c r="AS40" s="79">
        <f t="shared" si="5"/>
        <v>0</v>
      </c>
      <c r="AT40" s="80">
        <f t="shared" si="5"/>
        <v>0</v>
      </c>
      <c r="AU40" s="80">
        <f t="shared" si="5"/>
        <v>0</v>
      </c>
      <c r="AV40" s="81">
        <f t="shared" si="5"/>
        <v>0</v>
      </c>
      <c r="AW40" s="7">
        <f>COUNTIF($C40:$AR40,AW$21)</f>
        <v>0</v>
      </c>
    </row>
    <row r="41" spans="1:49" ht="18" customHeight="1" thickBot="1" x14ac:dyDescent="0.3">
      <c r="A41" s="47"/>
      <c r="B41" s="57" t="str">
        <f>+$B$25</f>
        <v>Gichelson</v>
      </c>
      <c r="C41" s="82"/>
      <c r="D41" s="59"/>
      <c r="E41" s="72"/>
      <c r="F41" s="61" t="s">
        <v>32</v>
      </c>
      <c r="G41" s="150" t="s">
        <v>31</v>
      </c>
      <c r="H41" s="150" t="s">
        <v>31</v>
      </c>
      <c r="I41" s="76"/>
      <c r="J41" s="74"/>
      <c r="K41" s="150" t="s">
        <v>31</v>
      </c>
      <c r="L41" s="150" t="s">
        <v>31</v>
      </c>
      <c r="M41" s="150" t="s">
        <v>31</v>
      </c>
      <c r="N41" s="150" t="s">
        <v>31</v>
      </c>
      <c r="O41" s="150" t="s">
        <v>31</v>
      </c>
      <c r="P41" s="76"/>
      <c r="Q41" s="74"/>
      <c r="R41" s="150" t="s">
        <v>31</v>
      </c>
      <c r="S41" s="150" t="s">
        <v>31</v>
      </c>
      <c r="T41" s="150" t="s">
        <v>31</v>
      </c>
      <c r="U41" s="150" t="s">
        <v>31</v>
      </c>
      <c r="V41" s="150" t="s">
        <v>31</v>
      </c>
      <c r="W41" s="76"/>
      <c r="X41" s="78"/>
      <c r="Y41" s="150" t="s">
        <v>31</v>
      </c>
      <c r="Z41" s="150" t="s">
        <v>31</v>
      </c>
      <c r="AA41" s="150" t="s">
        <v>31</v>
      </c>
      <c r="AB41" s="150" t="s">
        <v>31</v>
      </c>
      <c r="AC41" s="150" t="s">
        <v>31</v>
      </c>
      <c r="AD41" s="76"/>
      <c r="AE41" s="74"/>
      <c r="AF41" s="150" t="s">
        <v>31</v>
      </c>
      <c r="AG41" s="150" t="s">
        <v>31</v>
      </c>
      <c r="AH41" s="72"/>
      <c r="AI41" s="72"/>
      <c r="AJ41" s="75"/>
      <c r="AK41" s="76"/>
      <c r="AL41" s="78"/>
      <c r="AM41" s="59"/>
      <c r="AN41" s="72"/>
      <c r="AO41" s="72"/>
      <c r="AP41" s="72"/>
      <c r="AQ41" s="75"/>
      <c r="AR41" s="74"/>
      <c r="AS41" s="79">
        <f t="shared" si="5"/>
        <v>19</v>
      </c>
      <c r="AT41" s="80">
        <f t="shared" si="5"/>
        <v>1</v>
      </c>
      <c r="AU41" s="80">
        <f t="shared" si="5"/>
        <v>0</v>
      </c>
      <c r="AV41" s="81">
        <f t="shared" si="5"/>
        <v>0</v>
      </c>
      <c r="AW41" s="7">
        <f t="shared" si="5"/>
        <v>0</v>
      </c>
    </row>
    <row r="42" spans="1:49" ht="18" customHeight="1" thickBot="1" x14ac:dyDescent="0.3">
      <c r="A42" s="47"/>
      <c r="B42" s="89"/>
      <c r="C42" s="90"/>
      <c r="D42" s="91"/>
      <c r="E42" s="92"/>
      <c r="F42" s="92"/>
      <c r="G42" s="92"/>
      <c r="H42" s="92"/>
      <c r="I42" s="92"/>
      <c r="J42" s="93"/>
      <c r="K42" s="91"/>
      <c r="L42" s="92"/>
      <c r="M42" s="92"/>
      <c r="N42" s="92"/>
      <c r="O42" s="92"/>
      <c r="P42" s="94"/>
      <c r="Q42" s="93"/>
      <c r="R42" s="91"/>
      <c r="S42" s="95"/>
      <c r="T42" s="95"/>
      <c r="U42" s="95"/>
      <c r="V42" s="92"/>
      <c r="W42" s="94"/>
      <c r="X42" s="93"/>
      <c r="Y42" s="96"/>
      <c r="Z42" s="95"/>
      <c r="AA42" s="95"/>
      <c r="AB42" s="95"/>
      <c r="AC42" s="92"/>
      <c r="AD42" s="94"/>
      <c r="AE42" s="93"/>
      <c r="AF42" s="91"/>
      <c r="AG42" s="95"/>
      <c r="AH42" s="95"/>
      <c r="AI42" s="95"/>
      <c r="AJ42" s="97"/>
      <c r="AK42" s="94"/>
      <c r="AL42" s="93"/>
      <c r="AM42" s="98"/>
      <c r="AN42" s="95"/>
      <c r="AO42" s="95"/>
      <c r="AP42" s="95"/>
      <c r="AQ42" s="97"/>
      <c r="AR42" s="99"/>
      <c r="AS42" s="100">
        <f t="shared" si="5"/>
        <v>0</v>
      </c>
      <c r="AT42" s="101">
        <f t="shared" si="5"/>
        <v>0</v>
      </c>
      <c r="AU42" s="101">
        <f t="shared" si="5"/>
        <v>0</v>
      </c>
      <c r="AV42" s="102">
        <f t="shared" si="5"/>
        <v>0</v>
      </c>
      <c r="AW42" s="7">
        <f t="shared" si="5"/>
        <v>0</v>
      </c>
    </row>
    <row r="43" spans="1:49" ht="18" customHeight="1" x14ac:dyDescent="0.25">
      <c r="A43" s="47"/>
      <c r="B43" s="103"/>
      <c r="C43" s="25"/>
      <c r="D43" s="25"/>
      <c r="E43" s="25"/>
      <c r="F43" s="25"/>
      <c r="G43" s="25"/>
      <c r="H43" s="25"/>
      <c r="I43" s="25"/>
      <c r="J43" s="103"/>
      <c r="K43" s="103"/>
      <c r="L43" s="25"/>
      <c r="M43" s="25"/>
      <c r="N43" s="25"/>
      <c r="O43" s="25"/>
      <c r="P43" s="25"/>
      <c r="Q43" s="25"/>
      <c r="R43" s="25"/>
      <c r="S43" s="103"/>
      <c r="T43" s="103"/>
      <c r="U43" s="25"/>
      <c r="V43" s="25"/>
      <c r="W43" s="25"/>
      <c r="X43" s="25"/>
      <c r="Y43" s="25"/>
      <c r="Z43" s="25"/>
      <c r="AA43" s="25"/>
      <c r="AB43" s="25"/>
    </row>
    <row r="44" spans="1:49" s="32" customFormat="1" ht="18" customHeight="1" thickBot="1" x14ac:dyDescent="0.3">
      <c r="A44" s="30"/>
      <c r="B44" s="161" t="s">
        <v>39</v>
      </c>
      <c r="C44" s="161"/>
      <c r="D44" s="161"/>
      <c r="E44" s="161"/>
      <c r="F44" s="161"/>
      <c r="G44" s="161"/>
      <c r="H44" s="161"/>
      <c r="I44" s="161"/>
      <c r="J44" s="31"/>
      <c r="K44" s="32">
        <v>4</v>
      </c>
      <c r="S44" s="31"/>
      <c r="AB44" s="33"/>
    </row>
    <row r="45" spans="1:49" ht="18" customHeight="1" thickBot="1" x14ac:dyDescent="0.3">
      <c r="A45" s="47"/>
      <c r="B45" s="36" t="s">
        <v>23</v>
      </c>
      <c r="C45" s="121" t="s">
        <v>24</v>
      </c>
      <c r="D45" s="38" t="s">
        <v>25</v>
      </c>
      <c r="E45" s="39" t="s">
        <v>26</v>
      </c>
      <c r="F45" s="39" t="s">
        <v>27</v>
      </c>
      <c r="G45" s="39" t="s">
        <v>28</v>
      </c>
      <c r="H45" s="39" t="s">
        <v>29</v>
      </c>
      <c r="I45" s="40" t="s">
        <v>30</v>
      </c>
      <c r="J45" s="41" t="s">
        <v>24</v>
      </c>
      <c r="K45" s="42" t="s">
        <v>25</v>
      </c>
      <c r="L45" s="39" t="s">
        <v>26</v>
      </c>
      <c r="M45" s="39" t="s">
        <v>27</v>
      </c>
      <c r="N45" s="39" t="s">
        <v>28</v>
      </c>
      <c r="O45" s="39" t="s">
        <v>29</v>
      </c>
      <c r="P45" s="40" t="s">
        <v>30</v>
      </c>
      <c r="Q45" s="106" t="s">
        <v>24</v>
      </c>
      <c r="R45" s="38" t="s">
        <v>25</v>
      </c>
      <c r="S45" s="39" t="s">
        <v>26</v>
      </c>
      <c r="T45" s="39" t="s">
        <v>27</v>
      </c>
      <c r="U45" s="39" t="s">
        <v>28</v>
      </c>
      <c r="V45" s="39" t="s">
        <v>29</v>
      </c>
      <c r="W45" s="40" t="s">
        <v>30</v>
      </c>
      <c r="X45" s="41" t="s">
        <v>24</v>
      </c>
      <c r="Y45" s="42" t="s">
        <v>25</v>
      </c>
      <c r="Z45" s="39" t="s">
        <v>26</v>
      </c>
      <c r="AA45" s="39" t="s">
        <v>27</v>
      </c>
      <c r="AB45" s="39" t="s">
        <v>28</v>
      </c>
      <c r="AC45" s="39" t="s">
        <v>29</v>
      </c>
      <c r="AD45" s="40" t="s">
        <v>30</v>
      </c>
      <c r="AE45" s="106" t="s">
        <v>24</v>
      </c>
      <c r="AF45" s="38" t="s">
        <v>25</v>
      </c>
      <c r="AG45" s="39" t="s">
        <v>26</v>
      </c>
      <c r="AH45" s="39" t="s">
        <v>27</v>
      </c>
      <c r="AI45" s="39" t="s">
        <v>28</v>
      </c>
      <c r="AJ45" s="39" t="s">
        <v>29</v>
      </c>
      <c r="AK45" s="40" t="s">
        <v>30</v>
      </c>
      <c r="AL45" s="41" t="s">
        <v>24</v>
      </c>
      <c r="AM45" s="42" t="s">
        <v>25</v>
      </c>
      <c r="AN45" s="39" t="s">
        <v>26</v>
      </c>
      <c r="AO45" s="39" t="s">
        <v>27</v>
      </c>
      <c r="AP45" s="39" t="s">
        <v>28</v>
      </c>
      <c r="AQ45" s="39" t="s">
        <v>29</v>
      </c>
      <c r="AR45" s="41" t="s">
        <v>30</v>
      </c>
      <c r="AS45" s="45" t="str">
        <f>+AS37</f>
        <v>F26</v>
      </c>
      <c r="AT45" s="45" t="str">
        <f>+AT37</f>
        <v>F25</v>
      </c>
      <c r="AU45" s="45" t="str">
        <f>+AU37</f>
        <v>DFT</v>
      </c>
      <c r="AV45" s="46" t="s">
        <v>34</v>
      </c>
      <c r="AW45" s="7" t="s">
        <v>35</v>
      </c>
    </row>
    <row r="46" spans="1:49" ht="18" customHeight="1" thickBot="1" x14ac:dyDescent="0.3">
      <c r="A46" s="47"/>
      <c r="B46" s="48"/>
      <c r="C46" s="122">
        <f>IF($C$4=1,1,0)</f>
        <v>0</v>
      </c>
      <c r="D46" s="50">
        <f>IF($D$4=1,1, IF(C46&gt;0,C46+1, 0))</f>
        <v>0</v>
      </c>
      <c r="E46" s="51">
        <f>IF($E$4=1,1, IF(D46&gt;0,D46+1, 0))</f>
        <v>0</v>
      </c>
      <c r="F46" s="51">
        <f>IF($F$4=1,1, IF(E46&gt;0,E46+1, 0))</f>
        <v>1</v>
      </c>
      <c r="G46" s="51">
        <f>IF($G$4=1,1, IF(F46&gt;0,F46+1, 0))</f>
        <v>2</v>
      </c>
      <c r="H46" s="52">
        <f>IF($H$4=1,1, IF(G46&gt;0,G46+1, 0))</f>
        <v>3</v>
      </c>
      <c r="I46" s="53">
        <f>IF($I$4=1,1, IF(H46&gt;0,H46+1, 0))</f>
        <v>4</v>
      </c>
      <c r="J46" s="54">
        <f t="shared" ref="J46:AR46" si="6">IF(AND(I46&gt;0,I46&lt;30),I46+1,0)</f>
        <v>5</v>
      </c>
      <c r="K46" s="55">
        <f t="shared" si="6"/>
        <v>6</v>
      </c>
      <c r="L46" s="51">
        <f t="shared" si="6"/>
        <v>7</v>
      </c>
      <c r="M46" s="51">
        <f t="shared" si="6"/>
        <v>8</v>
      </c>
      <c r="N46" s="51">
        <f t="shared" si="6"/>
        <v>9</v>
      </c>
      <c r="O46" s="52">
        <f t="shared" si="6"/>
        <v>10</v>
      </c>
      <c r="P46" s="53">
        <f t="shared" si="6"/>
        <v>11</v>
      </c>
      <c r="Q46" s="107">
        <f t="shared" si="6"/>
        <v>12</v>
      </c>
      <c r="R46" s="50">
        <f t="shared" si="6"/>
        <v>13</v>
      </c>
      <c r="S46" s="51">
        <f t="shared" si="6"/>
        <v>14</v>
      </c>
      <c r="T46" s="51">
        <f t="shared" si="6"/>
        <v>15</v>
      </c>
      <c r="U46" s="51">
        <f t="shared" si="6"/>
        <v>16</v>
      </c>
      <c r="V46" s="52">
        <f t="shared" si="6"/>
        <v>17</v>
      </c>
      <c r="W46" s="53">
        <f t="shared" si="6"/>
        <v>18</v>
      </c>
      <c r="X46" s="54">
        <f t="shared" si="6"/>
        <v>19</v>
      </c>
      <c r="Y46" s="55">
        <f>IF(AND(X46&gt;0,X46&lt;30),X46+1,0)</f>
        <v>20</v>
      </c>
      <c r="Z46" s="51">
        <f t="shared" si="6"/>
        <v>21</v>
      </c>
      <c r="AA46" s="51">
        <f t="shared" si="6"/>
        <v>22</v>
      </c>
      <c r="AB46" s="51">
        <f t="shared" si="6"/>
        <v>23</v>
      </c>
      <c r="AC46" s="52">
        <f t="shared" si="6"/>
        <v>24</v>
      </c>
      <c r="AD46" s="53">
        <f t="shared" si="6"/>
        <v>25</v>
      </c>
      <c r="AE46" s="107">
        <f t="shared" si="6"/>
        <v>26</v>
      </c>
      <c r="AF46" s="50">
        <f t="shared" si="6"/>
        <v>27</v>
      </c>
      <c r="AG46" s="51">
        <f t="shared" si="6"/>
        <v>28</v>
      </c>
      <c r="AH46" s="51">
        <f t="shared" si="6"/>
        <v>29</v>
      </c>
      <c r="AI46" s="51">
        <f t="shared" si="6"/>
        <v>30</v>
      </c>
      <c r="AJ46" s="52">
        <f t="shared" si="6"/>
        <v>0</v>
      </c>
      <c r="AK46" s="53">
        <f t="shared" si="6"/>
        <v>0</v>
      </c>
      <c r="AL46" s="54">
        <f t="shared" si="6"/>
        <v>0</v>
      </c>
      <c r="AM46" s="55">
        <f t="shared" si="6"/>
        <v>0</v>
      </c>
      <c r="AN46" s="51">
        <f t="shared" si="6"/>
        <v>0</v>
      </c>
      <c r="AO46" s="51">
        <f t="shared" si="6"/>
        <v>0</v>
      </c>
      <c r="AP46" s="51">
        <f t="shared" si="6"/>
        <v>0</v>
      </c>
      <c r="AQ46" s="52">
        <f t="shared" si="6"/>
        <v>0</v>
      </c>
      <c r="AR46" s="56">
        <f t="shared" si="6"/>
        <v>0</v>
      </c>
    </row>
    <row r="47" spans="1:49" ht="18" customHeight="1" thickBot="1" x14ac:dyDescent="0.3">
      <c r="A47" s="47"/>
      <c r="B47" s="109" t="str">
        <f>+$B$23</f>
        <v>Pedro</v>
      </c>
      <c r="C47" s="123"/>
      <c r="D47" s="63"/>
      <c r="E47" s="60"/>
      <c r="F47" s="60"/>
      <c r="G47" s="60"/>
      <c r="H47" s="64"/>
      <c r="I47" s="76"/>
      <c r="J47" s="74"/>
      <c r="K47" s="72"/>
      <c r="L47" s="72"/>
      <c r="M47" s="72"/>
      <c r="N47" s="72"/>
      <c r="O47" s="75"/>
      <c r="P47" s="76"/>
      <c r="Q47" s="78"/>
      <c r="R47" s="59"/>
      <c r="S47" s="72"/>
      <c r="T47" s="72"/>
      <c r="U47" s="72"/>
      <c r="V47" s="75"/>
      <c r="W47" s="76"/>
      <c r="X47" s="74"/>
      <c r="Y47" s="72"/>
      <c r="Z47" s="72"/>
      <c r="AA47" s="72"/>
      <c r="AB47" s="60"/>
      <c r="AC47" s="72"/>
      <c r="AD47" s="65"/>
      <c r="AE47" s="74"/>
      <c r="AF47" s="72"/>
      <c r="AG47" s="60"/>
      <c r="AH47" s="60"/>
      <c r="AI47" s="60"/>
      <c r="AJ47" s="64"/>
      <c r="AK47" s="65"/>
      <c r="AL47" s="62"/>
      <c r="AM47" s="66"/>
      <c r="AN47" s="60"/>
      <c r="AO47" s="60"/>
      <c r="AP47" s="60"/>
      <c r="AQ47" s="64"/>
      <c r="AR47" s="62"/>
      <c r="AS47" s="68">
        <f t="shared" ref="AS47:AW50" si="7">COUNTIF($C47:$AR47,AS$21)</f>
        <v>0</v>
      </c>
      <c r="AT47" s="69">
        <f t="shared" si="7"/>
        <v>0</v>
      </c>
      <c r="AU47" s="69">
        <f t="shared" si="7"/>
        <v>0</v>
      </c>
      <c r="AV47" s="70">
        <f t="shared" si="7"/>
        <v>0</v>
      </c>
      <c r="AW47" s="7">
        <f>COUNTIF($C47:$AR47,AW$21)</f>
        <v>0</v>
      </c>
    </row>
    <row r="48" spans="1:49" ht="18" customHeight="1" thickBot="1" x14ac:dyDescent="0.3">
      <c r="A48" s="47"/>
      <c r="B48" s="57" t="str">
        <f>+$B$24</f>
        <v>Miguel</v>
      </c>
      <c r="C48" s="124"/>
      <c r="D48" s="59"/>
      <c r="E48" s="72"/>
      <c r="F48" s="72"/>
      <c r="G48" s="72"/>
      <c r="H48" s="75"/>
      <c r="I48" s="76"/>
      <c r="J48" s="74"/>
      <c r="K48" s="77"/>
      <c r="L48" s="72"/>
      <c r="M48" s="72"/>
      <c r="N48" s="61" t="s">
        <v>32</v>
      </c>
      <c r="O48" s="150" t="s">
        <v>31</v>
      </c>
      <c r="P48" s="76"/>
      <c r="Q48" s="78"/>
      <c r="R48" s="59"/>
      <c r="S48" s="72"/>
      <c r="T48" s="72"/>
      <c r="U48" s="150" t="s">
        <v>31</v>
      </c>
      <c r="V48" s="150" t="s">
        <v>31</v>
      </c>
      <c r="W48" s="76"/>
      <c r="X48" s="74"/>
      <c r="Y48" s="77"/>
      <c r="Z48" s="72"/>
      <c r="AA48" s="72"/>
      <c r="AB48" s="72"/>
      <c r="AC48" s="72"/>
      <c r="AD48" s="76"/>
      <c r="AE48" s="74"/>
      <c r="AF48" s="72"/>
      <c r="AG48" s="72"/>
      <c r="AH48" s="72"/>
      <c r="AI48" s="72"/>
      <c r="AJ48" s="75"/>
      <c r="AK48" s="76"/>
      <c r="AL48" s="74"/>
      <c r="AM48" s="77"/>
      <c r="AN48" s="72"/>
      <c r="AO48" s="72"/>
      <c r="AP48" s="72"/>
      <c r="AQ48" s="75"/>
      <c r="AR48" s="74"/>
      <c r="AS48" s="79">
        <f t="shared" si="7"/>
        <v>3</v>
      </c>
      <c r="AT48" s="80">
        <f t="shared" si="7"/>
        <v>1</v>
      </c>
      <c r="AU48" s="80">
        <f t="shared" si="7"/>
        <v>0</v>
      </c>
      <c r="AV48" s="81">
        <f t="shared" si="7"/>
        <v>0</v>
      </c>
      <c r="AW48" s="7">
        <f>COUNTIF($C48:$AR48,AW$21)</f>
        <v>0</v>
      </c>
    </row>
    <row r="49" spans="1:49" ht="18" customHeight="1" thickBot="1" x14ac:dyDescent="0.3">
      <c r="A49" s="47"/>
      <c r="B49" s="57" t="str">
        <f>+$B$25</f>
        <v>Gichelson</v>
      </c>
      <c r="C49" s="125"/>
      <c r="D49" s="59"/>
      <c r="E49" s="72"/>
      <c r="F49" s="150" t="s">
        <v>31</v>
      </c>
      <c r="G49" s="150" t="s">
        <v>31</v>
      </c>
      <c r="H49" s="75"/>
      <c r="I49" s="76"/>
      <c r="J49" s="74"/>
      <c r="K49" s="150" t="s">
        <v>31</v>
      </c>
      <c r="L49" s="72"/>
      <c r="M49" s="72"/>
      <c r="N49" s="72"/>
      <c r="O49" s="75"/>
      <c r="P49" s="76"/>
      <c r="Q49" s="78"/>
      <c r="R49" s="59"/>
      <c r="S49" s="72"/>
      <c r="T49" s="72"/>
      <c r="U49" s="72"/>
      <c r="V49" s="75"/>
      <c r="W49" s="76"/>
      <c r="X49" s="74"/>
      <c r="Y49" s="77"/>
      <c r="Z49" s="72"/>
      <c r="AA49" s="72"/>
      <c r="AB49" s="72"/>
      <c r="AC49" s="72"/>
      <c r="AD49" s="76"/>
      <c r="AE49" s="74"/>
      <c r="AF49" s="72"/>
      <c r="AG49" s="72"/>
      <c r="AH49" s="72"/>
      <c r="AI49" s="72"/>
      <c r="AJ49" s="75"/>
      <c r="AK49" s="76"/>
      <c r="AL49" s="74"/>
      <c r="AM49" s="77"/>
      <c r="AN49" s="72"/>
      <c r="AO49" s="72"/>
      <c r="AP49" s="72"/>
      <c r="AQ49" s="75"/>
      <c r="AR49" s="112"/>
      <c r="AS49" s="79">
        <f t="shared" si="7"/>
        <v>3</v>
      </c>
      <c r="AT49" s="80">
        <f t="shared" si="7"/>
        <v>0</v>
      </c>
      <c r="AU49" s="80">
        <f t="shared" si="7"/>
        <v>0</v>
      </c>
      <c r="AV49" s="81">
        <f t="shared" si="7"/>
        <v>0</v>
      </c>
      <c r="AW49" s="7">
        <f t="shared" si="7"/>
        <v>0</v>
      </c>
    </row>
    <row r="50" spans="1:49" ht="18" customHeight="1" thickBot="1" x14ac:dyDescent="0.3">
      <c r="A50" s="47"/>
      <c r="B50" s="89"/>
      <c r="C50" s="90"/>
      <c r="D50" s="91"/>
      <c r="E50" s="92"/>
      <c r="F50" s="92"/>
      <c r="G50" s="92"/>
      <c r="H50" s="92"/>
      <c r="I50" s="92"/>
      <c r="J50" s="93"/>
      <c r="K50" s="91"/>
      <c r="L50" s="92"/>
      <c r="M50" s="92"/>
      <c r="N50" s="92"/>
      <c r="O50" s="92"/>
      <c r="P50" s="94"/>
      <c r="Q50" s="93"/>
      <c r="R50" s="91"/>
      <c r="S50" s="95"/>
      <c r="T50" s="95"/>
      <c r="U50" s="95"/>
      <c r="V50" s="92"/>
      <c r="W50" s="94"/>
      <c r="X50" s="93"/>
      <c r="Y50" s="96"/>
      <c r="Z50" s="95"/>
      <c r="AA50" s="95"/>
      <c r="AB50" s="95"/>
      <c r="AC50" s="92"/>
      <c r="AD50" s="94"/>
      <c r="AE50" s="93"/>
      <c r="AF50" s="91"/>
      <c r="AG50" s="95"/>
      <c r="AH50" s="95"/>
      <c r="AI50" s="95"/>
      <c r="AJ50" s="97"/>
      <c r="AK50" s="94"/>
      <c r="AL50" s="93"/>
      <c r="AM50" s="98"/>
      <c r="AN50" s="95"/>
      <c r="AO50" s="95"/>
      <c r="AP50" s="95"/>
      <c r="AQ50" s="97"/>
      <c r="AR50" s="99"/>
      <c r="AS50" s="100">
        <f t="shared" si="7"/>
        <v>0</v>
      </c>
      <c r="AT50" s="101">
        <f t="shared" si="7"/>
        <v>0</v>
      </c>
      <c r="AU50" s="101">
        <f t="shared" si="7"/>
        <v>0</v>
      </c>
      <c r="AV50" s="102">
        <f t="shared" si="7"/>
        <v>0</v>
      </c>
      <c r="AW50" s="7">
        <f t="shared" si="7"/>
        <v>0</v>
      </c>
    </row>
    <row r="51" spans="1:49" ht="18" customHeight="1" x14ac:dyDescent="0.25">
      <c r="A51" s="47"/>
      <c r="B51" s="103"/>
      <c r="C51" s="25"/>
      <c r="D51" s="25"/>
      <c r="E51" s="25"/>
      <c r="F51" s="25"/>
      <c r="G51" s="25"/>
      <c r="H51" s="25"/>
      <c r="I51" s="25"/>
      <c r="J51" s="103"/>
      <c r="K51" s="103"/>
      <c r="L51" s="25"/>
      <c r="M51" s="25"/>
      <c r="N51" s="25"/>
      <c r="O51" s="25"/>
      <c r="P51" s="25"/>
      <c r="Q51" s="25"/>
      <c r="R51" s="25"/>
      <c r="S51" s="103"/>
      <c r="T51" s="103"/>
      <c r="U51" s="25"/>
      <c r="V51" s="25"/>
      <c r="W51" s="25"/>
      <c r="X51" s="25"/>
      <c r="Y51" s="25"/>
      <c r="Z51" s="25"/>
      <c r="AA51" s="25"/>
      <c r="AB51" s="25"/>
    </row>
    <row r="52" spans="1:49" ht="18" customHeight="1" thickBot="1" x14ac:dyDescent="0.3">
      <c r="A52" s="47"/>
      <c r="B52" s="161" t="s">
        <v>40</v>
      </c>
      <c r="C52" s="161"/>
      <c r="D52" s="161"/>
      <c r="E52" s="161"/>
      <c r="F52" s="161"/>
      <c r="G52" s="161"/>
      <c r="H52" s="161"/>
      <c r="I52" s="161"/>
      <c r="J52" s="103"/>
      <c r="K52" s="103">
        <v>5</v>
      </c>
      <c r="L52" s="25"/>
      <c r="M52" s="25"/>
      <c r="N52" s="25"/>
      <c r="O52" s="25"/>
      <c r="P52" s="25"/>
      <c r="Q52" s="25"/>
      <c r="R52" s="25"/>
      <c r="S52" s="103"/>
      <c r="T52" s="103"/>
      <c r="U52" s="25"/>
      <c r="V52" s="25"/>
      <c r="W52" s="25"/>
      <c r="X52" s="25"/>
      <c r="Y52" s="25"/>
      <c r="Z52" s="25"/>
      <c r="AA52" s="25"/>
      <c r="AB52" s="104"/>
    </row>
    <row r="53" spans="1:49" ht="18" customHeight="1" thickBot="1" x14ac:dyDescent="0.3">
      <c r="A53" s="47"/>
      <c r="B53" s="36" t="s">
        <v>23</v>
      </c>
      <c r="C53" s="121" t="s">
        <v>24</v>
      </c>
      <c r="D53" s="38" t="s">
        <v>25</v>
      </c>
      <c r="E53" s="39" t="s">
        <v>26</v>
      </c>
      <c r="F53" s="39" t="s">
        <v>27</v>
      </c>
      <c r="G53" s="39" t="s">
        <v>28</v>
      </c>
      <c r="H53" s="39" t="s">
        <v>29</v>
      </c>
      <c r="I53" s="40" t="s">
        <v>30</v>
      </c>
      <c r="J53" s="41" t="s">
        <v>24</v>
      </c>
      <c r="K53" s="42" t="s">
        <v>25</v>
      </c>
      <c r="L53" s="39" t="s">
        <v>26</v>
      </c>
      <c r="M53" s="39" t="s">
        <v>27</v>
      </c>
      <c r="N53" s="39" t="s">
        <v>28</v>
      </c>
      <c r="O53" s="39" t="s">
        <v>29</v>
      </c>
      <c r="P53" s="40" t="s">
        <v>30</v>
      </c>
      <c r="Q53" s="106" t="s">
        <v>24</v>
      </c>
      <c r="R53" s="38" t="s">
        <v>25</v>
      </c>
      <c r="S53" s="39" t="s">
        <v>26</v>
      </c>
      <c r="T53" s="39" t="s">
        <v>27</v>
      </c>
      <c r="U53" s="39" t="s">
        <v>28</v>
      </c>
      <c r="V53" s="39" t="s">
        <v>29</v>
      </c>
      <c r="W53" s="40" t="s">
        <v>30</v>
      </c>
      <c r="X53" s="41" t="s">
        <v>24</v>
      </c>
      <c r="Y53" s="42" t="s">
        <v>25</v>
      </c>
      <c r="Z53" s="39" t="s">
        <v>26</v>
      </c>
      <c r="AA53" s="39" t="s">
        <v>27</v>
      </c>
      <c r="AB53" s="39" t="s">
        <v>28</v>
      </c>
      <c r="AC53" s="39" t="s">
        <v>29</v>
      </c>
      <c r="AD53" s="40" t="s">
        <v>30</v>
      </c>
      <c r="AE53" s="106" t="s">
        <v>24</v>
      </c>
      <c r="AF53" s="38" t="s">
        <v>25</v>
      </c>
      <c r="AG53" s="39" t="s">
        <v>26</v>
      </c>
      <c r="AH53" s="39" t="s">
        <v>27</v>
      </c>
      <c r="AI53" s="39" t="s">
        <v>28</v>
      </c>
      <c r="AJ53" s="39" t="s">
        <v>29</v>
      </c>
      <c r="AK53" s="40" t="s">
        <v>30</v>
      </c>
      <c r="AL53" s="41" t="s">
        <v>24</v>
      </c>
      <c r="AM53" s="42" t="s">
        <v>25</v>
      </c>
      <c r="AN53" s="39" t="s">
        <v>26</v>
      </c>
      <c r="AO53" s="39" t="s">
        <v>27</v>
      </c>
      <c r="AP53" s="39" t="s">
        <v>28</v>
      </c>
      <c r="AQ53" s="39" t="s">
        <v>29</v>
      </c>
      <c r="AR53" s="41" t="s">
        <v>30</v>
      </c>
      <c r="AS53" s="45" t="str">
        <f>+AS45</f>
        <v>F26</v>
      </c>
      <c r="AT53" s="45" t="str">
        <f>+AT45</f>
        <v>F25</v>
      </c>
      <c r="AU53" s="45" t="str">
        <f>+AU45</f>
        <v>DFT</v>
      </c>
      <c r="AV53" s="46" t="s">
        <v>34</v>
      </c>
      <c r="AW53" s="7" t="s">
        <v>35</v>
      </c>
    </row>
    <row r="54" spans="1:49" ht="18" customHeight="1" thickBot="1" x14ac:dyDescent="0.3">
      <c r="A54" s="47"/>
      <c r="B54" s="48"/>
      <c r="C54" s="122">
        <f>IF($L$4=1,1,0)</f>
        <v>0</v>
      </c>
      <c r="D54" s="50">
        <f>IF($M$4=1,1, IF(C54&gt;0,C54+1, 0))</f>
        <v>0</v>
      </c>
      <c r="E54" s="51">
        <f>IF($N$4=1,1, IF(D54&gt;0,D54+1, 0))</f>
        <v>0</v>
      </c>
      <c r="F54" s="51">
        <f>IF($O$4=1,1, IF(E54&gt;0,E54+1, 0))</f>
        <v>0</v>
      </c>
      <c r="G54" s="51">
        <f>IF($P$4=1,1, IF(F54&gt;0,F54+1, 0))</f>
        <v>0</v>
      </c>
      <c r="H54" s="52">
        <f>IF($Q$4=1,1, IF(G54&gt;0,G54+1, 0))</f>
        <v>1</v>
      </c>
      <c r="I54" s="53">
        <f>IF($R$4=1,1, IF(H54&gt;0,H54+1, 0))</f>
        <v>2</v>
      </c>
      <c r="J54" s="54">
        <f t="shared" ref="J54:AR54" si="8">IF(AND(I54&gt;0,I54&lt;31),I54+1,0)</f>
        <v>3</v>
      </c>
      <c r="K54" s="55">
        <f t="shared" si="8"/>
        <v>4</v>
      </c>
      <c r="L54" s="51">
        <f t="shared" si="8"/>
        <v>5</v>
      </c>
      <c r="M54" s="51">
        <f t="shared" si="8"/>
        <v>6</v>
      </c>
      <c r="N54" s="51">
        <f t="shared" si="8"/>
        <v>7</v>
      </c>
      <c r="O54" s="52">
        <f t="shared" si="8"/>
        <v>8</v>
      </c>
      <c r="P54" s="53">
        <f t="shared" si="8"/>
        <v>9</v>
      </c>
      <c r="Q54" s="107">
        <f t="shared" si="8"/>
        <v>10</v>
      </c>
      <c r="R54" s="50">
        <f t="shared" si="8"/>
        <v>11</v>
      </c>
      <c r="S54" s="51">
        <f t="shared" si="8"/>
        <v>12</v>
      </c>
      <c r="T54" s="51">
        <f t="shared" si="8"/>
        <v>13</v>
      </c>
      <c r="U54" s="51">
        <f t="shared" si="8"/>
        <v>14</v>
      </c>
      <c r="V54" s="52">
        <f t="shared" si="8"/>
        <v>15</v>
      </c>
      <c r="W54" s="53">
        <f t="shared" si="8"/>
        <v>16</v>
      </c>
      <c r="X54" s="54">
        <f t="shared" si="8"/>
        <v>17</v>
      </c>
      <c r="Y54" s="55">
        <f>IF(AND(X54&gt;0,X54&lt;31),X54+1,0)</f>
        <v>18</v>
      </c>
      <c r="Z54" s="51">
        <f t="shared" si="8"/>
        <v>19</v>
      </c>
      <c r="AA54" s="51">
        <f t="shared" si="8"/>
        <v>20</v>
      </c>
      <c r="AB54" s="51">
        <f t="shared" si="8"/>
        <v>21</v>
      </c>
      <c r="AC54" s="52">
        <f t="shared" si="8"/>
        <v>22</v>
      </c>
      <c r="AD54" s="53">
        <f t="shared" si="8"/>
        <v>23</v>
      </c>
      <c r="AE54" s="107">
        <f t="shared" si="8"/>
        <v>24</v>
      </c>
      <c r="AF54" s="50">
        <f t="shared" si="8"/>
        <v>25</v>
      </c>
      <c r="AG54" s="51">
        <f t="shared" si="8"/>
        <v>26</v>
      </c>
      <c r="AH54" s="51">
        <f t="shared" si="8"/>
        <v>27</v>
      </c>
      <c r="AI54" s="51">
        <f t="shared" si="8"/>
        <v>28</v>
      </c>
      <c r="AJ54" s="52">
        <f t="shared" si="8"/>
        <v>29</v>
      </c>
      <c r="AK54" s="53">
        <f t="shared" si="8"/>
        <v>30</v>
      </c>
      <c r="AL54" s="56">
        <f t="shared" si="8"/>
        <v>31</v>
      </c>
      <c r="AM54" s="55">
        <f t="shared" si="8"/>
        <v>0</v>
      </c>
      <c r="AN54" s="51">
        <f t="shared" si="8"/>
        <v>0</v>
      </c>
      <c r="AO54" s="51">
        <f t="shared" si="8"/>
        <v>0</v>
      </c>
      <c r="AP54" s="51">
        <f t="shared" si="8"/>
        <v>0</v>
      </c>
      <c r="AQ54" s="52">
        <f t="shared" si="8"/>
        <v>0</v>
      </c>
      <c r="AR54" s="56">
        <f t="shared" si="8"/>
        <v>0</v>
      </c>
    </row>
    <row r="55" spans="1:49" ht="18" customHeight="1" thickBot="1" x14ac:dyDescent="0.3">
      <c r="A55" s="47"/>
      <c r="B55" s="109" t="str">
        <f>+$B$23</f>
        <v>Pedro</v>
      </c>
      <c r="C55" s="123"/>
      <c r="D55" s="63"/>
      <c r="E55" s="60"/>
      <c r="F55" s="60"/>
      <c r="G55" s="60"/>
      <c r="H55" s="85"/>
      <c r="I55" s="65"/>
      <c r="J55" s="62"/>
      <c r="K55" s="66"/>
      <c r="L55" s="60"/>
      <c r="M55" s="60"/>
      <c r="N55" s="60"/>
      <c r="O55" s="64"/>
      <c r="P55" s="65"/>
      <c r="Q55" s="67"/>
      <c r="R55" s="63"/>
      <c r="S55" s="60"/>
      <c r="T55" s="60"/>
      <c r="U55" s="60"/>
      <c r="V55" s="64"/>
      <c r="W55" s="65"/>
      <c r="X55" s="62"/>
      <c r="Y55" s="66"/>
      <c r="Z55" s="60"/>
      <c r="AA55" s="60"/>
      <c r="AB55" s="60"/>
      <c r="AC55" s="64"/>
      <c r="AD55" s="65"/>
      <c r="AE55" s="67"/>
      <c r="AF55" s="63"/>
      <c r="AG55" s="60"/>
      <c r="AH55" s="60"/>
      <c r="AI55" s="60"/>
      <c r="AJ55" s="72"/>
      <c r="AK55" s="65"/>
      <c r="AL55" s="62"/>
      <c r="AM55" s="66"/>
      <c r="AN55" s="60"/>
      <c r="AO55" s="60"/>
      <c r="AP55" s="60"/>
      <c r="AQ55" s="64"/>
      <c r="AR55" s="62"/>
      <c r="AS55" s="68">
        <f t="shared" ref="AS55:AW58" si="9">COUNTIF($C55:$AR55,AS$21)</f>
        <v>0</v>
      </c>
      <c r="AT55" s="69">
        <f t="shared" si="9"/>
        <v>0</v>
      </c>
      <c r="AU55" s="69">
        <f t="shared" si="9"/>
        <v>0</v>
      </c>
      <c r="AV55" s="70">
        <f t="shared" si="9"/>
        <v>0</v>
      </c>
      <c r="AW55" s="7">
        <f>COUNTIF($C55:$AR55,AW$21)</f>
        <v>0</v>
      </c>
    </row>
    <row r="56" spans="1:49" ht="18" customHeight="1" thickBot="1" x14ac:dyDescent="0.3">
      <c r="A56" s="47"/>
      <c r="B56" s="57" t="str">
        <f>+$B$24</f>
        <v>Miguel</v>
      </c>
      <c r="C56" s="124"/>
      <c r="D56" s="59"/>
      <c r="E56" s="73"/>
      <c r="F56" s="73"/>
      <c r="G56" s="73"/>
      <c r="H56" s="85"/>
      <c r="I56" s="76"/>
      <c r="J56" s="74"/>
      <c r="K56" s="77"/>
      <c r="L56" s="72"/>
      <c r="M56" s="72"/>
      <c r="N56" s="75"/>
      <c r="O56" s="150" t="s">
        <v>31</v>
      </c>
      <c r="P56" s="76"/>
      <c r="Q56" s="78"/>
      <c r="R56" s="59"/>
      <c r="S56" s="72"/>
      <c r="T56" s="72"/>
      <c r="U56" s="72"/>
      <c r="V56" s="75"/>
      <c r="W56" s="76"/>
      <c r="X56" s="74"/>
      <c r="Y56" s="77"/>
      <c r="Z56" s="72"/>
      <c r="AA56" s="72"/>
      <c r="AB56" s="72"/>
      <c r="AC56" s="75"/>
      <c r="AD56" s="76"/>
      <c r="AE56" s="78"/>
      <c r="AF56" s="59"/>
      <c r="AG56" s="75"/>
      <c r="AH56" s="72"/>
      <c r="AI56" s="72"/>
      <c r="AJ56" s="72"/>
      <c r="AK56" s="76"/>
      <c r="AL56" s="74"/>
      <c r="AM56" s="77"/>
      <c r="AN56" s="72"/>
      <c r="AO56" s="72"/>
      <c r="AP56" s="72"/>
      <c r="AQ56" s="75"/>
      <c r="AR56" s="74"/>
      <c r="AS56" s="79">
        <f t="shared" si="9"/>
        <v>1</v>
      </c>
      <c r="AT56" s="80">
        <f t="shared" si="9"/>
        <v>0</v>
      </c>
      <c r="AU56" s="80">
        <f t="shared" si="9"/>
        <v>0</v>
      </c>
      <c r="AV56" s="81">
        <f t="shared" si="9"/>
        <v>0</v>
      </c>
      <c r="AW56" s="7">
        <f>COUNTIF($C56:$AR56,AW$21)</f>
        <v>0</v>
      </c>
    </row>
    <row r="57" spans="1:49" ht="18" customHeight="1" x14ac:dyDescent="0.25">
      <c r="A57" s="47"/>
      <c r="B57" s="57" t="str">
        <f>+$B$25</f>
        <v>Gichelson</v>
      </c>
      <c r="C57" s="124"/>
      <c r="D57" s="59"/>
      <c r="E57" s="73"/>
      <c r="F57" s="73"/>
      <c r="G57" s="73"/>
      <c r="H57" s="85"/>
      <c r="I57" s="76"/>
      <c r="J57" s="74"/>
      <c r="K57" s="77"/>
      <c r="L57" s="72"/>
      <c r="M57" s="72"/>
      <c r="N57" s="72"/>
      <c r="O57" s="75"/>
      <c r="P57" s="76"/>
      <c r="Q57" s="78"/>
      <c r="R57" s="59"/>
      <c r="S57" s="72"/>
      <c r="T57" s="72"/>
      <c r="U57" s="72"/>
      <c r="V57" s="77"/>
      <c r="W57" s="76"/>
      <c r="X57" s="74"/>
      <c r="Y57" s="72"/>
      <c r="Z57" s="72"/>
      <c r="AA57" s="72"/>
      <c r="AB57" s="72"/>
      <c r="AC57" s="75"/>
      <c r="AD57" s="76"/>
      <c r="AE57" s="78"/>
      <c r="AF57" s="59"/>
      <c r="AG57" s="75"/>
      <c r="AH57" s="72"/>
      <c r="AI57" s="72"/>
      <c r="AJ57" s="72"/>
      <c r="AK57" s="76"/>
      <c r="AL57" s="74"/>
      <c r="AM57" s="77"/>
      <c r="AN57" s="72"/>
      <c r="AO57" s="72"/>
      <c r="AP57" s="72"/>
      <c r="AQ57" s="75"/>
      <c r="AR57" s="74"/>
      <c r="AS57" s="79">
        <f t="shared" si="9"/>
        <v>0</v>
      </c>
      <c r="AT57" s="80">
        <f t="shared" si="9"/>
        <v>0</v>
      </c>
      <c r="AU57" s="80">
        <f t="shared" si="9"/>
        <v>0</v>
      </c>
      <c r="AV57" s="81">
        <f t="shared" si="9"/>
        <v>0</v>
      </c>
      <c r="AW57" s="7">
        <f t="shared" si="9"/>
        <v>0</v>
      </c>
    </row>
    <row r="58" spans="1:49" ht="18" customHeight="1" thickBot="1" x14ac:dyDescent="0.3">
      <c r="A58" s="47"/>
      <c r="B58" s="89"/>
      <c r="C58" s="90"/>
      <c r="D58" s="91"/>
      <c r="E58" s="92"/>
      <c r="F58" s="92"/>
      <c r="G58" s="92"/>
      <c r="H58" s="92"/>
      <c r="I58" s="92"/>
      <c r="J58" s="93"/>
      <c r="K58" s="91"/>
      <c r="L58" s="92"/>
      <c r="M58" s="92"/>
      <c r="N58" s="92"/>
      <c r="O58" s="92"/>
      <c r="P58" s="94"/>
      <c r="Q58" s="93"/>
      <c r="R58" s="91"/>
      <c r="S58" s="95"/>
      <c r="T58" s="95"/>
      <c r="U58" s="95"/>
      <c r="V58" s="92"/>
      <c r="W58" s="94"/>
      <c r="X58" s="93"/>
      <c r="Y58" s="96"/>
      <c r="Z58" s="95"/>
      <c r="AA58" s="95"/>
      <c r="AB58" s="95"/>
      <c r="AC58" s="92"/>
      <c r="AD58" s="94"/>
      <c r="AE58" s="93"/>
      <c r="AF58" s="91"/>
      <c r="AG58" s="95"/>
      <c r="AH58" s="95"/>
      <c r="AI58" s="95"/>
      <c r="AJ58" s="97"/>
      <c r="AK58" s="94"/>
      <c r="AL58" s="93"/>
      <c r="AM58" s="98"/>
      <c r="AN58" s="95"/>
      <c r="AO58" s="95"/>
      <c r="AP58" s="95"/>
      <c r="AQ58" s="97"/>
      <c r="AR58" s="99"/>
      <c r="AS58" s="100">
        <f t="shared" si="9"/>
        <v>0</v>
      </c>
      <c r="AT58" s="101">
        <f t="shared" si="9"/>
        <v>0</v>
      </c>
      <c r="AU58" s="101">
        <f t="shared" si="9"/>
        <v>0</v>
      </c>
      <c r="AV58" s="102">
        <f t="shared" si="9"/>
        <v>0</v>
      </c>
      <c r="AW58" s="7">
        <f t="shared" si="9"/>
        <v>0</v>
      </c>
    </row>
    <row r="59" spans="1:49" ht="18" customHeight="1" x14ac:dyDescent="0.25">
      <c r="A59" s="47"/>
      <c r="B59" s="103"/>
      <c r="C59" s="25"/>
      <c r="D59" s="25"/>
      <c r="E59" s="25"/>
      <c r="F59" s="25"/>
      <c r="G59" s="25"/>
      <c r="H59" s="25"/>
      <c r="I59" s="25"/>
      <c r="J59" s="103"/>
      <c r="K59" s="103"/>
      <c r="L59" s="25"/>
      <c r="M59" s="25"/>
      <c r="N59" s="25"/>
      <c r="O59" s="25"/>
      <c r="P59" s="25"/>
      <c r="Q59" s="25"/>
      <c r="R59" s="25"/>
      <c r="S59" s="103"/>
      <c r="T59" s="103"/>
      <c r="U59" s="25"/>
      <c r="V59" s="25"/>
      <c r="W59" s="25"/>
      <c r="X59" s="25"/>
      <c r="Y59" s="25"/>
      <c r="Z59" s="25"/>
      <c r="AA59" s="25"/>
      <c r="AB59" s="25"/>
    </row>
    <row r="60" spans="1:49" ht="18" customHeight="1" thickBot="1" x14ac:dyDescent="0.3">
      <c r="A60" s="47"/>
      <c r="B60" s="161" t="s">
        <v>41</v>
      </c>
      <c r="C60" s="161"/>
      <c r="D60" s="161"/>
      <c r="E60" s="161"/>
      <c r="F60" s="161"/>
      <c r="G60" s="161"/>
      <c r="H60" s="161"/>
      <c r="I60" s="161"/>
      <c r="J60" s="103"/>
      <c r="K60" s="103">
        <v>6</v>
      </c>
      <c r="L60" s="25"/>
      <c r="M60" s="25"/>
      <c r="N60" s="25"/>
      <c r="O60" s="25"/>
      <c r="P60" s="25"/>
      <c r="Q60" s="25"/>
      <c r="R60" s="25"/>
      <c r="S60" s="103"/>
      <c r="T60" s="103"/>
      <c r="U60" s="25"/>
      <c r="V60" s="25"/>
      <c r="W60" s="25"/>
      <c r="X60" s="25"/>
      <c r="Y60" s="25"/>
      <c r="Z60" s="25"/>
      <c r="AA60" s="25"/>
      <c r="AB60" s="104"/>
    </row>
    <row r="61" spans="1:49" ht="18" customHeight="1" thickBot="1" x14ac:dyDescent="0.3">
      <c r="A61" s="47"/>
      <c r="B61" s="36" t="s">
        <v>23</v>
      </c>
      <c r="C61" s="121" t="s">
        <v>24</v>
      </c>
      <c r="D61" s="38" t="s">
        <v>25</v>
      </c>
      <c r="E61" s="39" t="s">
        <v>26</v>
      </c>
      <c r="F61" s="39" t="s">
        <v>27</v>
      </c>
      <c r="G61" s="39" t="s">
        <v>28</v>
      </c>
      <c r="H61" s="39" t="s">
        <v>29</v>
      </c>
      <c r="I61" s="40" t="s">
        <v>30</v>
      </c>
      <c r="J61" s="41" t="s">
        <v>24</v>
      </c>
      <c r="K61" s="42" t="s">
        <v>25</v>
      </c>
      <c r="L61" s="39" t="s">
        <v>26</v>
      </c>
      <c r="M61" s="39" t="s">
        <v>27</v>
      </c>
      <c r="N61" s="39" t="s">
        <v>28</v>
      </c>
      <c r="O61" s="39" t="s">
        <v>29</v>
      </c>
      <c r="P61" s="40" t="s">
        <v>30</v>
      </c>
      <c r="Q61" s="106" t="s">
        <v>24</v>
      </c>
      <c r="R61" s="38" t="s">
        <v>25</v>
      </c>
      <c r="S61" s="39" t="s">
        <v>26</v>
      </c>
      <c r="T61" s="39" t="s">
        <v>27</v>
      </c>
      <c r="U61" s="39" t="s">
        <v>28</v>
      </c>
      <c r="V61" s="39" t="s">
        <v>29</v>
      </c>
      <c r="W61" s="40" t="s">
        <v>30</v>
      </c>
      <c r="X61" s="41" t="s">
        <v>24</v>
      </c>
      <c r="Y61" s="42" t="s">
        <v>25</v>
      </c>
      <c r="Z61" s="39" t="s">
        <v>26</v>
      </c>
      <c r="AA61" s="39" t="s">
        <v>27</v>
      </c>
      <c r="AB61" s="39" t="s">
        <v>28</v>
      </c>
      <c r="AC61" s="39" t="s">
        <v>29</v>
      </c>
      <c r="AD61" s="40" t="s">
        <v>30</v>
      </c>
      <c r="AE61" s="106" t="s">
        <v>24</v>
      </c>
      <c r="AF61" s="38" t="s">
        <v>25</v>
      </c>
      <c r="AG61" s="39" t="s">
        <v>26</v>
      </c>
      <c r="AH61" s="39" t="s">
        <v>27</v>
      </c>
      <c r="AI61" s="39" t="s">
        <v>28</v>
      </c>
      <c r="AJ61" s="39" t="s">
        <v>29</v>
      </c>
      <c r="AK61" s="40" t="s">
        <v>30</v>
      </c>
      <c r="AL61" s="41" t="s">
        <v>24</v>
      </c>
      <c r="AM61" s="42" t="s">
        <v>25</v>
      </c>
      <c r="AN61" s="39" t="s">
        <v>26</v>
      </c>
      <c r="AO61" s="39" t="s">
        <v>27</v>
      </c>
      <c r="AP61" s="39" t="s">
        <v>28</v>
      </c>
      <c r="AQ61" s="39" t="s">
        <v>29</v>
      </c>
      <c r="AR61" s="41" t="s">
        <v>30</v>
      </c>
      <c r="AS61" s="45" t="str">
        <f>+AS53</f>
        <v>F26</v>
      </c>
      <c r="AT61" s="45" t="str">
        <f>+AT53</f>
        <v>F25</v>
      </c>
      <c r="AU61" s="45" t="str">
        <f>+AU53</f>
        <v>DFT</v>
      </c>
      <c r="AV61" s="46" t="s">
        <v>34</v>
      </c>
      <c r="AW61" s="7" t="s">
        <v>35</v>
      </c>
    </row>
    <row r="62" spans="1:49" ht="18" customHeight="1" thickBot="1" x14ac:dyDescent="0.3">
      <c r="A62" s="47"/>
      <c r="B62" s="48"/>
      <c r="C62" s="122">
        <f>IF($U$4=1,1,0)</f>
        <v>0</v>
      </c>
      <c r="D62" s="50">
        <f>IF($V$4=1,1, IF(C62&gt;0,C62+1, 0))</f>
        <v>1</v>
      </c>
      <c r="E62" s="51">
        <f>IF($W$4=1,1, IF(D62&gt;0,D62+1, 0))</f>
        <v>2</v>
      </c>
      <c r="F62" s="51">
        <f>IF($X$4=1,1, IF(E62&gt;0,E62+1, 0))</f>
        <v>3</v>
      </c>
      <c r="G62" s="51">
        <f>IF($Y$4=1,1, IF(F62&gt;0,F62+1, 0))</f>
        <v>4</v>
      </c>
      <c r="H62" s="52">
        <f>IF($Z$4=1,1, IF(G62&gt;0,G62+1, 0))</f>
        <v>5</v>
      </c>
      <c r="I62" s="53">
        <f>IF($AA$4=1,1, IF(H62&gt;0,H62+1, 0))</f>
        <v>6</v>
      </c>
      <c r="J62" s="54">
        <f t="shared" ref="J62:AR62" si="10">IF(AND(I62&gt;0,I62&lt;30),I62+1,0)</f>
        <v>7</v>
      </c>
      <c r="K62" s="55">
        <f t="shared" si="10"/>
        <v>8</v>
      </c>
      <c r="L62" s="51">
        <f t="shared" si="10"/>
        <v>9</v>
      </c>
      <c r="M62" s="51">
        <f t="shared" si="10"/>
        <v>10</v>
      </c>
      <c r="N62" s="51">
        <f t="shared" si="10"/>
        <v>11</v>
      </c>
      <c r="O62" s="52">
        <f t="shared" si="10"/>
        <v>12</v>
      </c>
      <c r="P62" s="53">
        <f t="shared" si="10"/>
        <v>13</v>
      </c>
      <c r="Q62" s="107">
        <f t="shared" si="10"/>
        <v>14</v>
      </c>
      <c r="R62" s="50">
        <f t="shared" si="10"/>
        <v>15</v>
      </c>
      <c r="S62" s="51">
        <f t="shared" si="10"/>
        <v>16</v>
      </c>
      <c r="T62" s="51">
        <f t="shared" si="10"/>
        <v>17</v>
      </c>
      <c r="U62" s="51">
        <f t="shared" si="10"/>
        <v>18</v>
      </c>
      <c r="V62" s="52">
        <f t="shared" si="10"/>
        <v>19</v>
      </c>
      <c r="W62" s="53">
        <f t="shared" si="10"/>
        <v>20</v>
      </c>
      <c r="X62" s="54">
        <f t="shared" si="10"/>
        <v>21</v>
      </c>
      <c r="Y62" s="55">
        <f>IF(AND(X62&gt;0,X62&lt;30),X62+1,0)</f>
        <v>22</v>
      </c>
      <c r="Z62" s="51">
        <f t="shared" si="10"/>
        <v>23</v>
      </c>
      <c r="AA62" s="51">
        <f t="shared" si="10"/>
        <v>24</v>
      </c>
      <c r="AB62" s="51">
        <f t="shared" si="10"/>
        <v>25</v>
      </c>
      <c r="AC62" s="52">
        <f t="shared" si="10"/>
        <v>26</v>
      </c>
      <c r="AD62" s="53">
        <f t="shared" si="10"/>
        <v>27</v>
      </c>
      <c r="AE62" s="107">
        <f t="shared" si="10"/>
        <v>28</v>
      </c>
      <c r="AF62" s="50">
        <f t="shared" si="10"/>
        <v>29</v>
      </c>
      <c r="AG62" s="51">
        <f t="shared" si="10"/>
        <v>30</v>
      </c>
      <c r="AH62" s="51">
        <f t="shared" si="10"/>
        <v>0</v>
      </c>
      <c r="AI62" s="51">
        <f t="shared" si="10"/>
        <v>0</v>
      </c>
      <c r="AJ62" s="52">
        <f t="shared" si="10"/>
        <v>0</v>
      </c>
      <c r="AK62" s="53">
        <f t="shared" si="10"/>
        <v>0</v>
      </c>
      <c r="AL62" s="56">
        <f t="shared" si="10"/>
        <v>0</v>
      </c>
      <c r="AM62" s="55">
        <f t="shared" si="10"/>
        <v>0</v>
      </c>
      <c r="AN62" s="51">
        <f t="shared" si="10"/>
        <v>0</v>
      </c>
      <c r="AO62" s="51">
        <f t="shared" si="10"/>
        <v>0</v>
      </c>
      <c r="AP62" s="51">
        <f t="shared" si="10"/>
        <v>0</v>
      </c>
      <c r="AQ62" s="52">
        <f t="shared" si="10"/>
        <v>0</v>
      </c>
      <c r="AR62" s="56">
        <f t="shared" si="10"/>
        <v>0</v>
      </c>
    </row>
    <row r="63" spans="1:49" ht="18" customHeight="1" thickBot="1" x14ac:dyDescent="0.3">
      <c r="A63" s="47"/>
      <c r="B63" s="109" t="str">
        <f>+$B$23</f>
        <v>Pedro</v>
      </c>
      <c r="C63" s="123"/>
      <c r="D63" s="63"/>
      <c r="E63" s="60"/>
      <c r="F63" s="60"/>
      <c r="G63" s="60"/>
      <c r="H63" s="64"/>
      <c r="I63" s="65"/>
      <c r="J63" s="62"/>
      <c r="K63" s="72"/>
      <c r="L63" s="60"/>
      <c r="M63" s="60"/>
      <c r="N63" s="60"/>
      <c r="O63" s="60"/>
      <c r="P63" s="65"/>
      <c r="Q63" s="67"/>
      <c r="R63" s="63"/>
      <c r="S63" s="72"/>
      <c r="T63" s="60"/>
      <c r="U63" s="60"/>
      <c r="V63" s="60"/>
      <c r="W63" s="65"/>
      <c r="X63" s="62"/>
      <c r="Y63" s="66"/>
      <c r="Z63" s="60"/>
      <c r="AA63" s="60"/>
      <c r="AB63" s="60"/>
      <c r="AC63" s="64"/>
      <c r="AD63" s="65"/>
      <c r="AE63" s="67"/>
      <c r="AF63" s="63"/>
      <c r="AG63" s="60"/>
      <c r="AH63" s="60"/>
      <c r="AI63" s="60"/>
      <c r="AJ63" s="64"/>
      <c r="AK63" s="65"/>
      <c r="AL63" s="62"/>
      <c r="AM63" s="66"/>
      <c r="AN63" s="60"/>
      <c r="AO63" s="60"/>
      <c r="AP63" s="60"/>
      <c r="AQ63" s="64"/>
      <c r="AR63" s="62"/>
      <c r="AS63" s="68">
        <f t="shared" ref="AS63:AW66" si="11">COUNTIF($C63:$AR63,AS$21)</f>
        <v>0</v>
      </c>
      <c r="AT63" s="69">
        <f t="shared" si="11"/>
        <v>0</v>
      </c>
      <c r="AU63" s="69">
        <f t="shared" si="11"/>
        <v>0</v>
      </c>
      <c r="AV63" s="70">
        <f t="shared" si="11"/>
        <v>0</v>
      </c>
      <c r="AW63" s="7">
        <f>COUNTIF($C63:$AR63,AW$21)</f>
        <v>0</v>
      </c>
    </row>
    <row r="64" spans="1:49" ht="18" customHeight="1" thickBot="1" x14ac:dyDescent="0.3">
      <c r="A64" s="47"/>
      <c r="B64" s="57" t="str">
        <f>+$B$24</f>
        <v>Miguel</v>
      </c>
      <c r="C64" s="124"/>
      <c r="D64" s="59"/>
      <c r="E64" s="72"/>
      <c r="F64" s="72"/>
      <c r="G64" s="72"/>
      <c r="H64" s="75"/>
      <c r="I64" s="76"/>
      <c r="J64" s="74"/>
      <c r="K64" s="72"/>
      <c r="L64" s="72"/>
      <c r="M64" s="72"/>
      <c r="N64" s="72"/>
      <c r="O64" s="72"/>
      <c r="P64" s="76"/>
      <c r="Q64" s="78"/>
      <c r="R64" s="150" t="s">
        <v>31</v>
      </c>
      <c r="S64" s="150" t="s">
        <v>31</v>
      </c>
      <c r="T64" s="150" t="s">
        <v>31</v>
      </c>
      <c r="U64" s="150" t="s">
        <v>31</v>
      </c>
      <c r="V64" s="150" t="s">
        <v>31</v>
      </c>
      <c r="W64" s="76"/>
      <c r="X64" s="74"/>
      <c r="Y64" s="77"/>
      <c r="Z64" s="72"/>
      <c r="AA64" s="72"/>
      <c r="AB64" s="72"/>
      <c r="AC64" s="72"/>
      <c r="AD64" s="76"/>
      <c r="AE64" s="78"/>
      <c r="AF64" s="59"/>
      <c r="AG64" s="72"/>
      <c r="AH64" s="72"/>
      <c r="AI64" s="72"/>
      <c r="AJ64" s="75"/>
      <c r="AK64" s="76"/>
      <c r="AL64" s="74"/>
      <c r="AM64" s="77"/>
      <c r="AN64" s="72"/>
      <c r="AO64" s="72"/>
      <c r="AP64" s="72"/>
      <c r="AQ64" s="75"/>
      <c r="AR64" s="74"/>
      <c r="AS64" s="79">
        <f t="shared" si="11"/>
        <v>5</v>
      </c>
      <c r="AT64" s="80">
        <f t="shared" si="11"/>
        <v>0</v>
      </c>
      <c r="AU64" s="80">
        <f t="shared" si="11"/>
        <v>0</v>
      </c>
      <c r="AV64" s="81">
        <f t="shared" si="11"/>
        <v>0</v>
      </c>
      <c r="AW64" s="7">
        <f>COUNTIF($C64:$AR64,AW$21)</f>
        <v>0</v>
      </c>
    </row>
    <row r="65" spans="1:49" ht="18" customHeight="1" x14ac:dyDescent="0.25">
      <c r="A65" s="47"/>
      <c r="B65" s="57" t="str">
        <f>+$B$25</f>
        <v>Gichelson</v>
      </c>
      <c r="C65" s="124"/>
      <c r="D65" s="59"/>
      <c r="E65" s="72"/>
      <c r="F65" s="72"/>
      <c r="G65" s="72"/>
      <c r="H65" s="75"/>
      <c r="I65" s="76"/>
      <c r="J65" s="74"/>
      <c r="K65" s="72"/>
      <c r="L65" s="60"/>
      <c r="M65" s="72"/>
      <c r="N65" s="72"/>
      <c r="O65" s="72"/>
      <c r="P65" s="76"/>
      <c r="Q65" s="78"/>
      <c r="R65" s="59"/>
      <c r="S65" s="72"/>
      <c r="T65" s="72"/>
      <c r="U65" s="72"/>
      <c r="V65" s="75"/>
      <c r="W65" s="76"/>
      <c r="X65" s="74"/>
      <c r="Y65" s="77"/>
      <c r="Z65" s="72"/>
      <c r="AA65" s="72"/>
      <c r="AB65" s="72"/>
      <c r="AC65" s="76"/>
      <c r="AD65" s="76"/>
      <c r="AE65" s="78"/>
      <c r="AF65" s="59"/>
      <c r="AG65" s="72"/>
      <c r="AH65" s="72"/>
      <c r="AI65" s="72"/>
      <c r="AJ65" s="75"/>
      <c r="AK65" s="76"/>
      <c r="AL65" s="74"/>
      <c r="AM65" s="77"/>
      <c r="AN65" s="72"/>
      <c r="AO65" s="72"/>
      <c r="AP65" s="72"/>
      <c r="AQ65" s="75"/>
      <c r="AR65" s="74"/>
      <c r="AS65" s="79">
        <f t="shared" si="11"/>
        <v>0</v>
      </c>
      <c r="AT65" s="80">
        <f t="shared" si="11"/>
        <v>0</v>
      </c>
      <c r="AU65" s="80">
        <f t="shared" si="11"/>
        <v>0</v>
      </c>
      <c r="AV65" s="81">
        <f t="shared" si="11"/>
        <v>0</v>
      </c>
      <c r="AW65" s="7">
        <f t="shared" si="11"/>
        <v>0</v>
      </c>
    </row>
    <row r="66" spans="1:49" ht="18" customHeight="1" thickBot="1" x14ac:dyDescent="0.3">
      <c r="A66" s="47"/>
      <c r="B66" s="89"/>
      <c r="C66" s="90"/>
      <c r="D66" s="91"/>
      <c r="E66" s="92"/>
      <c r="F66" s="92"/>
      <c r="G66" s="92"/>
      <c r="H66" s="92"/>
      <c r="I66" s="92"/>
      <c r="J66" s="93"/>
      <c r="K66" s="91"/>
      <c r="L66" s="92"/>
      <c r="M66" s="92"/>
      <c r="N66" s="92"/>
      <c r="O66" s="92"/>
      <c r="P66" s="94"/>
      <c r="Q66" s="93"/>
      <c r="R66" s="91"/>
      <c r="S66" s="95"/>
      <c r="T66" s="95"/>
      <c r="U66" s="95"/>
      <c r="V66" s="92"/>
      <c r="W66" s="94"/>
      <c r="X66" s="93"/>
      <c r="Y66" s="96"/>
      <c r="Z66" s="95"/>
      <c r="AA66" s="95"/>
      <c r="AB66" s="95"/>
      <c r="AC66" s="92"/>
      <c r="AD66" s="94"/>
      <c r="AE66" s="93"/>
      <c r="AF66" s="91"/>
      <c r="AG66" s="95"/>
      <c r="AH66" s="95"/>
      <c r="AI66" s="95"/>
      <c r="AJ66" s="97"/>
      <c r="AK66" s="94"/>
      <c r="AL66" s="93"/>
      <c r="AM66" s="98"/>
      <c r="AN66" s="95"/>
      <c r="AO66" s="95"/>
      <c r="AP66" s="95"/>
      <c r="AQ66" s="97"/>
      <c r="AR66" s="99"/>
      <c r="AS66" s="100">
        <f t="shared" si="11"/>
        <v>0</v>
      </c>
      <c r="AT66" s="101">
        <f t="shared" si="11"/>
        <v>0</v>
      </c>
      <c r="AU66" s="101">
        <f t="shared" si="11"/>
        <v>0</v>
      </c>
      <c r="AV66" s="102">
        <f t="shared" si="11"/>
        <v>0</v>
      </c>
      <c r="AW66" s="7">
        <f t="shared" si="11"/>
        <v>0</v>
      </c>
    </row>
    <row r="67" spans="1:49" ht="18" customHeight="1" x14ac:dyDescent="0.25">
      <c r="A67" s="47"/>
      <c r="B67" s="103"/>
      <c r="C67" s="25"/>
      <c r="D67" s="25"/>
      <c r="E67" s="25"/>
      <c r="F67" s="25"/>
      <c r="G67" s="25"/>
      <c r="H67" s="25"/>
      <c r="I67" s="25"/>
      <c r="J67" s="103"/>
      <c r="K67" s="103"/>
      <c r="L67" s="25"/>
      <c r="M67" s="25"/>
      <c r="N67" s="25"/>
      <c r="O67" s="25"/>
      <c r="P67" s="25"/>
      <c r="Q67" s="25"/>
      <c r="R67" s="25"/>
      <c r="S67" s="103"/>
      <c r="T67" s="103"/>
      <c r="U67" s="25"/>
      <c r="V67" s="25"/>
      <c r="W67" s="25"/>
      <c r="X67" s="25"/>
      <c r="Y67" s="25"/>
      <c r="Z67" s="25"/>
      <c r="AA67" s="25"/>
      <c r="AB67" s="25"/>
    </row>
    <row r="68" spans="1:49" s="32" customFormat="1" ht="18" customHeight="1" thickBot="1" x14ac:dyDescent="0.3">
      <c r="A68" s="30"/>
      <c r="B68" s="161" t="s">
        <v>42</v>
      </c>
      <c r="C68" s="161"/>
      <c r="D68" s="161"/>
      <c r="E68" s="161"/>
      <c r="F68" s="161"/>
      <c r="G68" s="161"/>
      <c r="H68" s="161"/>
      <c r="I68" s="161"/>
      <c r="J68" s="31"/>
      <c r="K68" s="32">
        <v>7</v>
      </c>
      <c r="S68" s="31"/>
      <c r="AB68" s="33"/>
    </row>
    <row r="69" spans="1:49" ht="18" customHeight="1" thickBot="1" x14ac:dyDescent="0.3">
      <c r="A69" s="47"/>
      <c r="B69" s="36" t="s">
        <v>23</v>
      </c>
      <c r="C69" s="121" t="s">
        <v>24</v>
      </c>
      <c r="D69" s="38" t="s">
        <v>25</v>
      </c>
      <c r="E69" s="39" t="s">
        <v>26</v>
      </c>
      <c r="F69" s="39" t="s">
        <v>27</v>
      </c>
      <c r="G69" s="39" t="s">
        <v>28</v>
      </c>
      <c r="H69" s="39" t="s">
        <v>29</v>
      </c>
      <c r="I69" s="40" t="s">
        <v>30</v>
      </c>
      <c r="J69" s="41" t="s">
        <v>24</v>
      </c>
      <c r="K69" s="38" t="s">
        <v>25</v>
      </c>
      <c r="L69" s="39" t="s">
        <v>26</v>
      </c>
      <c r="M69" s="39" t="s">
        <v>27</v>
      </c>
      <c r="N69" s="39" t="s">
        <v>28</v>
      </c>
      <c r="O69" s="39" t="s">
        <v>29</v>
      </c>
      <c r="P69" s="40" t="s">
        <v>30</v>
      </c>
      <c r="Q69" s="41" t="s">
        <v>24</v>
      </c>
      <c r="R69" s="42" t="s">
        <v>25</v>
      </c>
      <c r="S69" s="39" t="s">
        <v>26</v>
      </c>
      <c r="T69" s="39" t="s">
        <v>27</v>
      </c>
      <c r="U69" s="39" t="s">
        <v>28</v>
      </c>
      <c r="V69" s="39" t="s">
        <v>29</v>
      </c>
      <c r="W69" s="40" t="s">
        <v>30</v>
      </c>
      <c r="X69" s="41" t="s">
        <v>24</v>
      </c>
      <c r="Y69" s="42" t="s">
        <v>25</v>
      </c>
      <c r="Z69" s="39" t="s">
        <v>26</v>
      </c>
      <c r="AA69" s="39" t="s">
        <v>27</v>
      </c>
      <c r="AB69" s="39" t="s">
        <v>28</v>
      </c>
      <c r="AC69" s="39" t="s">
        <v>29</v>
      </c>
      <c r="AD69" s="40" t="s">
        <v>30</v>
      </c>
      <c r="AE69" s="106" t="s">
        <v>24</v>
      </c>
      <c r="AF69" s="38" t="s">
        <v>25</v>
      </c>
      <c r="AG69" s="39" t="s">
        <v>26</v>
      </c>
      <c r="AH69" s="39" t="s">
        <v>27</v>
      </c>
      <c r="AI69" s="39" t="s">
        <v>28</v>
      </c>
      <c r="AJ69" s="39" t="s">
        <v>29</v>
      </c>
      <c r="AK69" s="40" t="s">
        <v>30</v>
      </c>
      <c r="AL69" s="41" t="s">
        <v>24</v>
      </c>
      <c r="AM69" s="42" t="s">
        <v>25</v>
      </c>
      <c r="AN69" s="39" t="s">
        <v>26</v>
      </c>
      <c r="AO69" s="39" t="s">
        <v>27</v>
      </c>
      <c r="AP69" s="39" t="s">
        <v>28</v>
      </c>
      <c r="AQ69" s="39" t="s">
        <v>29</v>
      </c>
      <c r="AR69" s="41" t="s">
        <v>30</v>
      </c>
      <c r="AS69" s="45" t="str">
        <f>+AS61</f>
        <v>F26</v>
      </c>
      <c r="AT69" s="45" t="str">
        <f>+AT61</f>
        <v>F25</v>
      </c>
      <c r="AU69" s="45" t="str">
        <f>+AU61</f>
        <v>DFT</v>
      </c>
      <c r="AV69" s="46" t="s">
        <v>34</v>
      </c>
      <c r="AW69" s="7" t="s">
        <v>35</v>
      </c>
    </row>
    <row r="70" spans="1:49" ht="18" customHeight="1" thickBot="1" x14ac:dyDescent="0.3">
      <c r="A70" s="47"/>
      <c r="B70" s="48"/>
      <c r="C70" s="122">
        <f>IF($C$5=1,1,0)</f>
        <v>0</v>
      </c>
      <c r="D70" s="50">
        <f>IF($D$5=1,1, IF(C70&gt;0,C70+1, 0))</f>
        <v>0</v>
      </c>
      <c r="E70" s="51">
        <f>IF($E$5=1,1, IF(D70&gt;0,D70+1, 0))</f>
        <v>0</v>
      </c>
      <c r="F70" s="51">
        <f>IF($F$5=1,1, IF(E70&gt;0,E70+1, 0))</f>
        <v>1</v>
      </c>
      <c r="G70" s="51">
        <f>IF($G$5=1,1, IF(F70&gt;0,F70+1, 0))</f>
        <v>2</v>
      </c>
      <c r="H70" s="52">
        <f>IF($H$5=1,1, IF(G70&gt;0,G70+1, 0))</f>
        <v>3</v>
      </c>
      <c r="I70" s="53">
        <f>IF($I$5=1,1, IF(H70&gt;0,H70+1, 0))</f>
        <v>4</v>
      </c>
      <c r="J70" s="54">
        <f t="shared" ref="J70:AR70" si="12">IF(AND(I70&gt;0,I70&lt;31),I70+1,0)</f>
        <v>5</v>
      </c>
      <c r="K70" s="50">
        <f t="shared" si="12"/>
        <v>6</v>
      </c>
      <c r="L70" s="51">
        <f t="shared" si="12"/>
        <v>7</v>
      </c>
      <c r="M70" s="51">
        <f t="shared" si="12"/>
        <v>8</v>
      </c>
      <c r="N70" s="51">
        <f t="shared" si="12"/>
        <v>9</v>
      </c>
      <c r="O70" s="52">
        <f t="shared" si="12"/>
        <v>10</v>
      </c>
      <c r="P70" s="53">
        <f t="shared" si="12"/>
        <v>11</v>
      </c>
      <c r="Q70" s="54">
        <f t="shared" si="12"/>
        <v>12</v>
      </c>
      <c r="R70" s="55">
        <f t="shared" si="12"/>
        <v>13</v>
      </c>
      <c r="S70" s="51">
        <f t="shared" si="12"/>
        <v>14</v>
      </c>
      <c r="T70" s="51">
        <f t="shared" si="12"/>
        <v>15</v>
      </c>
      <c r="U70" s="51">
        <f t="shared" si="12"/>
        <v>16</v>
      </c>
      <c r="V70" s="52">
        <f t="shared" si="12"/>
        <v>17</v>
      </c>
      <c r="W70" s="53">
        <f t="shared" si="12"/>
        <v>18</v>
      </c>
      <c r="X70" s="54">
        <f t="shared" si="12"/>
        <v>19</v>
      </c>
      <c r="Y70" s="55">
        <f>IF(AND(X70&gt;0,X70&lt;31),X70+1,0)</f>
        <v>20</v>
      </c>
      <c r="Z70" s="51">
        <f t="shared" si="12"/>
        <v>21</v>
      </c>
      <c r="AA70" s="51">
        <f t="shared" si="12"/>
        <v>22</v>
      </c>
      <c r="AB70" s="51">
        <f t="shared" si="12"/>
        <v>23</v>
      </c>
      <c r="AC70" s="52">
        <f t="shared" si="12"/>
        <v>24</v>
      </c>
      <c r="AD70" s="53">
        <f t="shared" si="12"/>
        <v>25</v>
      </c>
      <c r="AE70" s="107">
        <f t="shared" si="12"/>
        <v>26</v>
      </c>
      <c r="AF70" s="50">
        <f t="shared" si="12"/>
        <v>27</v>
      </c>
      <c r="AG70" s="51">
        <f t="shared" si="12"/>
        <v>28</v>
      </c>
      <c r="AH70" s="51">
        <f t="shared" si="12"/>
        <v>29</v>
      </c>
      <c r="AI70" s="51">
        <f t="shared" si="12"/>
        <v>30</v>
      </c>
      <c r="AJ70" s="52">
        <f t="shared" si="12"/>
        <v>31</v>
      </c>
      <c r="AK70" s="53">
        <f t="shared" si="12"/>
        <v>0</v>
      </c>
      <c r="AL70" s="54">
        <f t="shared" si="12"/>
        <v>0</v>
      </c>
      <c r="AM70" s="55">
        <f t="shared" si="12"/>
        <v>0</v>
      </c>
      <c r="AN70" s="51">
        <f t="shared" si="12"/>
        <v>0</v>
      </c>
      <c r="AO70" s="51">
        <f t="shared" si="12"/>
        <v>0</v>
      </c>
      <c r="AP70" s="51">
        <f t="shared" si="12"/>
        <v>0</v>
      </c>
      <c r="AQ70" s="52">
        <f t="shared" si="12"/>
        <v>0</v>
      </c>
      <c r="AR70" s="56">
        <f t="shared" si="12"/>
        <v>0</v>
      </c>
    </row>
    <row r="71" spans="1:49" ht="18" customHeight="1" thickBot="1" x14ac:dyDescent="0.3">
      <c r="A71" s="47"/>
      <c r="B71" s="109" t="str">
        <f>+$B$23</f>
        <v>Pedro</v>
      </c>
      <c r="C71" s="123"/>
      <c r="D71" s="63"/>
      <c r="E71" s="60"/>
      <c r="F71" s="60"/>
      <c r="G71" s="60"/>
      <c r="H71" s="64"/>
      <c r="I71" s="65"/>
      <c r="J71" s="62"/>
      <c r="K71" s="63"/>
      <c r="L71" s="60"/>
      <c r="M71" s="60"/>
      <c r="N71" s="60"/>
      <c r="O71" s="75"/>
      <c r="P71" s="65"/>
      <c r="Q71" s="62"/>
      <c r="R71" s="72"/>
      <c r="S71" s="60"/>
      <c r="T71" s="60"/>
      <c r="U71" s="60"/>
      <c r="V71" s="64"/>
      <c r="W71" s="65"/>
      <c r="X71" s="62"/>
      <c r="Y71" s="72"/>
      <c r="Z71" s="72"/>
      <c r="AA71" s="72"/>
      <c r="AB71" s="72"/>
      <c r="AC71" s="72"/>
      <c r="AD71" s="65"/>
      <c r="AE71" s="127"/>
      <c r="AF71" s="72"/>
      <c r="AG71" s="72"/>
      <c r="AH71" s="72"/>
      <c r="AI71" s="72"/>
      <c r="AJ71" s="72"/>
      <c r="AK71" s="65"/>
      <c r="AL71" s="62"/>
      <c r="AM71" s="77"/>
      <c r="AN71" s="60"/>
      <c r="AO71" s="60"/>
      <c r="AP71" s="60"/>
      <c r="AQ71" s="64"/>
      <c r="AR71" s="62"/>
      <c r="AS71" s="68">
        <f t="shared" ref="AS71:AW74" si="13">COUNTIF($C71:$AR71,AS$21)</f>
        <v>0</v>
      </c>
      <c r="AT71" s="69">
        <f t="shared" si="13"/>
        <v>0</v>
      </c>
      <c r="AU71" s="69">
        <f t="shared" si="13"/>
        <v>0</v>
      </c>
      <c r="AV71" s="70">
        <f t="shared" si="13"/>
        <v>0</v>
      </c>
      <c r="AW71" s="7">
        <f>COUNTIF($C71:$AR71,AW$21)</f>
        <v>0</v>
      </c>
    </row>
    <row r="72" spans="1:49" ht="18" customHeight="1" thickBot="1" x14ac:dyDescent="0.3">
      <c r="A72" s="47"/>
      <c r="B72" s="57" t="str">
        <f>+$B$24</f>
        <v>Miguel</v>
      </c>
      <c r="C72" s="124"/>
      <c r="D72" s="59"/>
      <c r="E72" s="72"/>
      <c r="F72" s="72"/>
      <c r="G72" s="72"/>
      <c r="H72" s="75"/>
      <c r="I72" s="86"/>
      <c r="J72" s="87"/>
      <c r="K72" s="59"/>
      <c r="L72" s="72"/>
      <c r="M72" s="72"/>
      <c r="N72" s="72"/>
      <c r="O72" s="75"/>
      <c r="P72" s="76"/>
      <c r="Q72" s="74"/>
      <c r="R72" s="72"/>
      <c r="S72" s="72"/>
      <c r="T72" s="72"/>
      <c r="U72" s="72"/>
      <c r="V72" s="72"/>
      <c r="W72" s="76"/>
      <c r="X72" s="74"/>
      <c r="Y72" s="73"/>
      <c r="Z72" s="73"/>
      <c r="AA72" s="73"/>
      <c r="AB72" s="73"/>
      <c r="AC72" s="73"/>
      <c r="AD72" s="76"/>
      <c r="AE72" s="74"/>
      <c r="AF72" s="73"/>
      <c r="AG72" s="73"/>
      <c r="AH72" s="73"/>
      <c r="AI72" s="73"/>
      <c r="AJ72" s="150" t="s">
        <v>31</v>
      </c>
      <c r="AK72" s="76"/>
      <c r="AL72" s="74"/>
      <c r="AM72" s="77"/>
      <c r="AN72" s="72"/>
      <c r="AO72" s="73"/>
      <c r="AP72" s="72"/>
      <c r="AQ72" s="75"/>
      <c r="AR72" s="74"/>
      <c r="AS72" s="79">
        <f t="shared" si="13"/>
        <v>1</v>
      </c>
      <c r="AT72" s="80">
        <f t="shared" si="13"/>
        <v>0</v>
      </c>
      <c r="AU72" s="80">
        <f t="shared" si="13"/>
        <v>0</v>
      </c>
      <c r="AV72" s="81">
        <f t="shared" si="13"/>
        <v>0</v>
      </c>
      <c r="AW72" s="7">
        <f>COUNTIF($C72:$AR72,AW$21)</f>
        <v>0</v>
      </c>
    </row>
    <row r="73" spans="1:49" ht="18" customHeight="1" x14ac:dyDescent="0.25">
      <c r="A73" s="47"/>
      <c r="B73" s="57" t="str">
        <f>+$B$25</f>
        <v>Gichelson</v>
      </c>
      <c r="C73" s="124"/>
      <c r="D73" s="59"/>
      <c r="E73" s="72"/>
      <c r="F73" s="72"/>
      <c r="G73" s="72"/>
      <c r="H73" s="75"/>
      <c r="I73" s="86"/>
      <c r="J73" s="87"/>
      <c r="K73" s="59"/>
      <c r="L73" s="72"/>
      <c r="M73" s="72"/>
      <c r="N73" s="72"/>
      <c r="O73" s="75"/>
      <c r="P73" s="76"/>
      <c r="Q73" s="74"/>
      <c r="R73" s="72"/>
      <c r="S73" s="72"/>
      <c r="T73" s="72"/>
      <c r="U73" s="72"/>
      <c r="V73" s="72"/>
      <c r="W73" s="73"/>
      <c r="X73" s="74"/>
      <c r="Y73" s="73"/>
      <c r="Z73" s="73"/>
      <c r="AA73" s="73"/>
      <c r="AB73" s="73"/>
      <c r="AC73" s="73"/>
      <c r="AD73" s="76"/>
      <c r="AE73" s="74"/>
      <c r="AF73" s="73"/>
      <c r="AG73" s="73"/>
      <c r="AH73" s="73"/>
      <c r="AI73" s="73"/>
      <c r="AJ73" s="73"/>
      <c r="AK73" s="76"/>
      <c r="AL73" s="74"/>
      <c r="AM73" s="77"/>
      <c r="AN73" s="72"/>
      <c r="AO73" s="73"/>
      <c r="AP73" s="72"/>
      <c r="AQ73" s="75"/>
      <c r="AR73" s="74"/>
      <c r="AS73" s="79">
        <f t="shared" si="13"/>
        <v>0</v>
      </c>
      <c r="AT73" s="80">
        <f t="shared" si="13"/>
        <v>0</v>
      </c>
      <c r="AU73" s="80">
        <f t="shared" si="13"/>
        <v>0</v>
      </c>
      <c r="AV73" s="81">
        <f t="shared" si="13"/>
        <v>0</v>
      </c>
      <c r="AW73" s="7">
        <f t="shared" si="13"/>
        <v>0</v>
      </c>
    </row>
    <row r="74" spans="1:49" ht="18" customHeight="1" thickBot="1" x14ac:dyDescent="0.3">
      <c r="A74" s="47"/>
      <c r="B74" s="89"/>
      <c r="C74" s="90"/>
      <c r="D74" s="91"/>
      <c r="E74" s="92"/>
      <c r="F74" s="92"/>
      <c r="G74" s="92"/>
      <c r="H74" s="92"/>
      <c r="I74" s="92"/>
      <c r="J74" s="93"/>
      <c r="K74" s="91"/>
      <c r="L74" s="92"/>
      <c r="M74" s="92"/>
      <c r="N74" s="92"/>
      <c r="O74" s="92"/>
      <c r="P74" s="94"/>
      <c r="Q74" s="93"/>
      <c r="R74" s="91"/>
      <c r="S74" s="95"/>
      <c r="T74" s="95"/>
      <c r="U74" s="95"/>
      <c r="V74" s="92"/>
      <c r="W74" s="94"/>
      <c r="X74" s="93"/>
      <c r="Y74" s="96"/>
      <c r="Z74" s="95"/>
      <c r="AA74" s="95"/>
      <c r="AB74" s="95"/>
      <c r="AC74" s="92"/>
      <c r="AD74" s="94"/>
      <c r="AE74" s="93"/>
      <c r="AF74" s="91"/>
      <c r="AG74" s="95"/>
      <c r="AH74" s="95"/>
      <c r="AI74" s="95"/>
      <c r="AJ74" s="97"/>
      <c r="AK74" s="94"/>
      <c r="AL74" s="93"/>
      <c r="AM74" s="98"/>
      <c r="AN74" s="95"/>
      <c r="AO74" s="95"/>
      <c r="AP74" s="95"/>
      <c r="AQ74" s="97"/>
      <c r="AR74" s="99"/>
      <c r="AS74" s="100">
        <f t="shared" si="13"/>
        <v>0</v>
      </c>
      <c r="AT74" s="101">
        <f t="shared" si="13"/>
        <v>0</v>
      </c>
      <c r="AU74" s="101">
        <f t="shared" si="13"/>
        <v>0</v>
      </c>
      <c r="AV74" s="102">
        <f t="shared" si="13"/>
        <v>0</v>
      </c>
      <c r="AW74" s="7">
        <f t="shared" si="13"/>
        <v>0</v>
      </c>
    </row>
    <row r="75" spans="1:49" ht="18" customHeight="1" x14ac:dyDescent="0.25">
      <c r="A75" s="47"/>
      <c r="B75" s="103"/>
      <c r="C75" s="25"/>
      <c r="D75" s="25"/>
      <c r="E75" s="25"/>
      <c r="F75" s="25"/>
      <c r="G75" s="25"/>
      <c r="H75" s="25"/>
      <c r="I75" s="25"/>
      <c r="J75" s="103"/>
      <c r="K75" s="103"/>
      <c r="L75" s="25"/>
      <c r="M75" s="25"/>
      <c r="N75" s="25"/>
      <c r="O75" s="25"/>
      <c r="P75" s="25"/>
      <c r="Q75" s="25"/>
      <c r="R75" s="25"/>
      <c r="S75" s="103"/>
      <c r="T75" s="103"/>
      <c r="U75" s="25"/>
      <c r="V75" s="25"/>
      <c r="W75" s="25"/>
      <c r="X75" s="25"/>
      <c r="Y75" s="25"/>
      <c r="Z75" s="25"/>
      <c r="AA75" s="25"/>
      <c r="AB75" s="25"/>
    </row>
    <row r="76" spans="1:49" ht="18" customHeight="1" thickBot="1" x14ac:dyDescent="0.3">
      <c r="A76" s="47"/>
      <c r="B76" s="161" t="s">
        <v>43</v>
      </c>
      <c r="C76" s="161"/>
      <c r="D76" s="161"/>
      <c r="E76" s="161"/>
      <c r="F76" s="161"/>
      <c r="G76" s="161"/>
      <c r="H76" s="161"/>
      <c r="I76" s="161"/>
      <c r="J76" s="103"/>
      <c r="K76" s="103">
        <v>8</v>
      </c>
      <c r="L76" s="25"/>
      <c r="M76" s="25"/>
      <c r="N76" s="25"/>
      <c r="O76" s="25"/>
      <c r="P76" s="25"/>
      <c r="Q76" s="25"/>
      <c r="R76" s="25"/>
      <c r="S76" s="103"/>
      <c r="T76" s="103"/>
      <c r="U76" s="25"/>
      <c r="V76" s="25"/>
      <c r="W76" s="25"/>
      <c r="X76" s="25"/>
      <c r="Y76" s="25"/>
      <c r="Z76" s="25"/>
      <c r="AA76" s="25"/>
      <c r="AB76" s="104"/>
    </row>
    <row r="77" spans="1:49" ht="18" customHeight="1" thickBot="1" x14ac:dyDescent="0.3">
      <c r="A77" s="47"/>
      <c r="B77" s="36" t="s">
        <v>23</v>
      </c>
      <c r="C77" s="121" t="s">
        <v>24</v>
      </c>
      <c r="D77" s="38" t="s">
        <v>25</v>
      </c>
      <c r="E77" s="39" t="s">
        <v>26</v>
      </c>
      <c r="F77" s="39" t="s">
        <v>27</v>
      </c>
      <c r="G77" s="39" t="s">
        <v>28</v>
      </c>
      <c r="H77" s="39" t="s">
        <v>29</v>
      </c>
      <c r="I77" s="40" t="s">
        <v>30</v>
      </c>
      <c r="J77" s="41" t="s">
        <v>24</v>
      </c>
      <c r="K77" s="38" t="s">
        <v>25</v>
      </c>
      <c r="L77" s="39" t="s">
        <v>26</v>
      </c>
      <c r="M77" s="39" t="s">
        <v>27</v>
      </c>
      <c r="N77" s="39" t="s">
        <v>28</v>
      </c>
      <c r="O77" s="39" t="s">
        <v>29</v>
      </c>
      <c r="P77" s="40" t="s">
        <v>30</v>
      </c>
      <c r="Q77" s="41" t="s">
        <v>24</v>
      </c>
      <c r="R77" s="42" t="s">
        <v>25</v>
      </c>
      <c r="S77" s="39" t="s">
        <v>26</v>
      </c>
      <c r="T77" s="39" t="s">
        <v>27</v>
      </c>
      <c r="U77" s="39" t="s">
        <v>28</v>
      </c>
      <c r="V77" s="39" t="s">
        <v>29</v>
      </c>
      <c r="W77" s="40" t="s">
        <v>30</v>
      </c>
      <c r="X77" s="41" t="s">
        <v>24</v>
      </c>
      <c r="Y77" s="42" t="s">
        <v>25</v>
      </c>
      <c r="Z77" s="39" t="s">
        <v>26</v>
      </c>
      <c r="AA77" s="39" t="s">
        <v>27</v>
      </c>
      <c r="AB77" s="39" t="s">
        <v>28</v>
      </c>
      <c r="AC77" s="39" t="s">
        <v>29</v>
      </c>
      <c r="AD77" s="40" t="s">
        <v>30</v>
      </c>
      <c r="AE77" s="106" t="s">
        <v>24</v>
      </c>
      <c r="AF77" s="38" t="s">
        <v>25</v>
      </c>
      <c r="AG77" s="39" t="s">
        <v>26</v>
      </c>
      <c r="AH77" s="39" t="s">
        <v>27</v>
      </c>
      <c r="AI77" s="39" t="s">
        <v>28</v>
      </c>
      <c r="AJ77" s="39" t="s">
        <v>29</v>
      </c>
      <c r="AK77" s="40" t="s">
        <v>30</v>
      </c>
      <c r="AL77" s="41" t="s">
        <v>24</v>
      </c>
      <c r="AM77" s="42" t="s">
        <v>25</v>
      </c>
      <c r="AN77" s="39" t="s">
        <v>26</v>
      </c>
      <c r="AO77" s="39" t="s">
        <v>27</v>
      </c>
      <c r="AP77" s="39" t="s">
        <v>28</v>
      </c>
      <c r="AQ77" s="39" t="s">
        <v>29</v>
      </c>
      <c r="AR77" s="41" t="s">
        <v>30</v>
      </c>
      <c r="AS77" s="45" t="str">
        <f>+AS69</f>
        <v>F26</v>
      </c>
      <c r="AT77" s="45" t="str">
        <f>+AT69</f>
        <v>F25</v>
      </c>
      <c r="AU77" s="45" t="str">
        <f>+AU69</f>
        <v>DFT</v>
      </c>
      <c r="AV77" s="46" t="s">
        <v>34</v>
      </c>
      <c r="AW77" s="7" t="s">
        <v>35</v>
      </c>
    </row>
    <row r="78" spans="1:49" ht="18" customHeight="1" thickBot="1" x14ac:dyDescent="0.3">
      <c r="A78" s="47"/>
      <c r="B78" s="48"/>
      <c r="C78" s="122">
        <f>IF($L$5=1,1,0)</f>
        <v>0</v>
      </c>
      <c r="D78" s="50">
        <f>IF($M$5=1,1, IF(C78&gt;0,C78+1, 0))</f>
        <v>0</v>
      </c>
      <c r="E78" s="51">
        <f>IF($N$5=1,1, IF(D78&gt;0,D78+1, 0))</f>
        <v>0</v>
      </c>
      <c r="F78" s="51">
        <f>IF($O$5=1,1, IF(E78&gt;0,E78+1, 0))</f>
        <v>0</v>
      </c>
      <c r="G78" s="51">
        <f>IF($P$5=1,1, IF(F78&gt;0,F78+1, 0))</f>
        <v>0</v>
      </c>
      <c r="H78" s="52">
        <f>IF($Q$5=1,1, IF(G78&gt;0,G78+1, 0))</f>
        <v>0</v>
      </c>
      <c r="I78" s="53">
        <f>IF($R$5=1,1, IF(H78&gt;0,H78+1, 0))</f>
        <v>1</v>
      </c>
      <c r="J78" s="54">
        <f t="shared" ref="J78:AR78" si="14">IF(AND(I78&gt;0,I78&lt;31),I78+1,0)</f>
        <v>2</v>
      </c>
      <c r="K78" s="50">
        <f t="shared" si="14"/>
        <v>3</v>
      </c>
      <c r="L78" s="51">
        <f t="shared" si="14"/>
        <v>4</v>
      </c>
      <c r="M78" s="51">
        <f t="shared" si="14"/>
        <v>5</v>
      </c>
      <c r="N78" s="51">
        <f t="shared" si="14"/>
        <v>6</v>
      </c>
      <c r="O78" s="52">
        <f t="shared" si="14"/>
        <v>7</v>
      </c>
      <c r="P78" s="53">
        <f t="shared" si="14"/>
        <v>8</v>
      </c>
      <c r="Q78" s="54">
        <f t="shared" si="14"/>
        <v>9</v>
      </c>
      <c r="R78" s="55">
        <f t="shared" si="14"/>
        <v>10</v>
      </c>
      <c r="S78" s="51">
        <f t="shared" si="14"/>
        <v>11</v>
      </c>
      <c r="T78" s="51">
        <f t="shared" si="14"/>
        <v>12</v>
      </c>
      <c r="U78" s="51">
        <f t="shared" si="14"/>
        <v>13</v>
      </c>
      <c r="V78" s="52">
        <f t="shared" si="14"/>
        <v>14</v>
      </c>
      <c r="W78" s="53">
        <f t="shared" si="14"/>
        <v>15</v>
      </c>
      <c r="X78" s="54">
        <f t="shared" si="14"/>
        <v>16</v>
      </c>
      <c r="Y78" s="55">
        <f>IF(AND(X78&gt;0,X78&lt;31),X78+1,0)</f>
        <v>17</v>
      </c>
      <c r="Z78" s="51">
        <f t="shared" si="14"/>
        <v>18</v>
      </c>
      <c r="AA78" s="51">
        <f t="shared" si="14"/>
        <v>19</v>
      </c>
      <c r="AB78" s="51">
        <f t="shared" si="14"/>
        <v>20</v>
      </c>
      <c r="AC78" s="52">
        <f t="shared" si="14"/>
        <v>21</v>
      </c>
      <c r="AD78" s="53">
        <f t="shared" si="14"/>
        <v>22</v>
      </c>
      <c r="AE78" s="107">
        <f t="shared" si="14"/>
        <v>23</v>
      </c>
      <c r="AF78" s="50">
        <f t="shared" si="14"/>
        <v>24</v>
      </c>
      <c r="AG78" s="51">
        <f t="shared" si="14"/>
        <v>25</v>
      </c>
      <c r="AH78" s="51">
        <f t="shared" si="14"/>
        <v>26</v>
      </c>
      <c r="AI78" s="51">
        <f t="shared" si="14"/>
        <v>27</v>
      </c>
      <c r="AJ78" s="52">
        <f t="shared" si="14"/>
        <v>28</v>
      </c>
      <c r="AK78" s="53">
        <f t="shared" si="14"/>
        <v>29</v>
      </c>
      <c r="AL78" s="56">
        <f t="shared" si="14"/>
        <v>30</v>
      </c>
      <c r="AM78" s="55">
        <f t="shared" si="14"/>
        <v>31</v>
      </c>
      <c r="AN78" s="51">
        <f t="shared" si="14"/>
        <v>0</v>
      </c>
      <c r="AO78" s="51">
        <f t="shared" si="14"/>
        <v>0</v>
      </c>
      <c r="AP78" s="51">
        <f t="shared" si="14"/>
        <v>0</v>
      </c>
      <c r="AQ78" s="52">
        <f t="shared" si="14"/>
        <v>0</v>
      </c>
      <c r="AR78" s="56">
        <f t="shared" si="14"/>
        <v>0</v>
      </c>
    </row>
    <row r="79" spans="1:49" ht="18" customHeight="1" thickBot="1" x14ac:dyDescent="0.3">
      <c r="A79" s="47"/>
      <c r="B79" s="109" t="str">
        <f>+$B$23</f>
        <v>Pedro</v>
      </c>
      <c r="C79" s="123"/>
      <c r="D79" s="63"/>
      <c r="E79" s="72"/>
      <c r="F79" s="72"/>
      <c r="G79" s="72"/>
      <c r="H79" s="72"/>
      <c r="I79" s="76"/>
      <c r="J79" s="74"/>
      <c r="K79" s="59"/>
      <c r="L79" s="65"/>
      <c r="M79" s="65"/>
      <c r="N79" s="65"/>
      <c r="O79" s="65"/>
      <c r="P79" s="65"/>
      <c r="Q79" s="74"/>
      <c r="R79" s="72"/>
      <c r="S79" s="72"/>
      <c r="T79" s="72"/>
      <c r="U79" s="72"/>
      <c r="V79" s="72"/>
      <c r="W79" s="76"/>
      <c r="X79" s="74"/>
      <c r="Y79" s="59"/>
      <c r="Z79" s="72"/>
      <c r="AA79" s="72"/>
      <c r="AB79" s="72"/>
      <c r="AC79" s="72"/>
      <c r="AD79" s="76"/>
      <c r="AE79" s="74"/>
      <c r="AF79" s="59"/>
      <c r="AG79" s="78"/>
      <c r="AH79" s="72"/>
      <c r="AI79" s="72"/>
      <c r="AJ79" s="78"/>
      <c r="AK79" s="76"/>
      <c r="AL79" s="74"/>
      <c r="AM79" s="77"/>
      <c r="AN79" s="72"/>
      <c r="AO79" s="72"/>
      <c r="AP79" s="72"/>
      <c r="AQ79" s="64"/>
      <c r="AR79" s="62"/>
      <c r="AS79" s="68">
        <f t="shared" ref="AS79:AW82" si="15">COUNTIF($C79:$AR79,AS$21)</f>
        <v>0</v>
      </c>
      <c r="AT79" s="69">
        <f t="shared" si="15"/>
        <v>0</v>
      </c>
      <c r="AU79" s="69">
        <f t="shared" si="15"/>
        <v>0</v>
      </c>
      <c r="AV79" s="70">
        <f t="shared" si="15"/>
        <v>0</v>
      </c>
      <c r="AW79" s="7">
        <f>COUNTIF($C79:$AR79,AW$21)</f>
        <v>0</v>
      </c>
    </row>
    <row r="80" spans="1:49" ht="18" customHeight="1" thickBot="1" x14ac:dyDescent="0.3">
      <c r="A80" s="47"/>
      <c r="B80" s="57" t="str">
        <f>+$B$24</f>
        <v>Miguel</v>
      </c>
      <c r="C80" s="124"/>
      <c r="D80" s="59"/>
      <c r="E80" s="72"/>
      <c r="F80" s="72"/>
      <c r="G80" s="72"/>
      <c r="H80" s="72"/>
      <c r="I80" s="76"/>
      <c r="J80" s="74"/>
      <c r="K80" s="59"/>
      <c r="L80" s="72"/>
      <c r="M80" s="72"/>
      <c r="N80" s="150" t="s">
        <v>31</v>
      </c>
      <c r="O80" s="150" t="s">
        <v>31</v>
      </c>
      <c r="P80" s="65"/>
      <c r="Q80" s="74"/>
      <c r="R80" s="72"/>
      <c r="S80" s="72"/>
      <c r="T80" s="72"/>
      <c r="U80" s="76"/>
      <c r="V80" s="72"/>
      <c r="W80" s="76"/>
      <c r="X80" s="74"/>
      <c r="Y80" s="72"/>
      <c r="Z80" s="72"/>
      <c r="AA80" s="150" t="s">
        <v>31</v>
      </c>
      <c r="AB80" s="150" t="s">
        <v>31</v>
      </c>
      <c r="AC80" s="150" t="s">
        <v>31</v>
      </c>
      <c r="AD80" s="72"/>
      <c r="AE80" s="74"/>
      <c r="AF80" s="150" t="s">
        <v>31</v>
      </c>
      <c r="AG80" s="150" t="s">
        <v>31</v>
      </c>
      <c r="AH80" s="150" t="s">
        <v>31</v>
      </c>
      <c r="AI80" s="150" t="s">
        <v>31</v>
      </c>
      <c r="AJ80" s="150" t="s">
        <v>31</v>
      </c>
      <c r="AK80" s="76"/>
      <c r="AL80" s="74"/>
      <c r="AM80" s="150" t="s">
        <v>31</v>
      </c>
      <c r="AN80" s="72"/>
      <c r="AO80" s="72"/>
      <c r="AP80" s="72"/>
      <c r="AQ80" s="75"/>
      <c r="AR80" s="74"/>
      <c r="AS80" s="79">
        <f t="shared" si="15"/>
        <v>11</v>
      </c>
      <c r="AT80" s="80">
        <f t="shared" si="15"/>
        <v>0</v>
      </c>
      <c r="AU80" s="80">
        <f t="shared" si="15"/>
        <v>0</v>
      </c>
      <c r="AV80" s="81">
        <f t="shared" si="15"/>
        <v>0</v>
      </c>
      <c r="AW80" s="7">
        <f>COUNTIF($C80:$AR80,AW$21)</f>
        <v>0</v>
      </c>
    </row>
    <row r="81" spans="1:49" ht="18" customHeight="1" x14ac:dyDescent="0.25">
      <c r="A81" s="47"/>
      <c r="B81" s="57" t="str">
        <f>+$B$25</f>
        <v>Gichelson</v>
      </c>
      <c r="C81" s="124"/>
      <c r="D81" s="59"/>
      <c r="E81" s="72"/>
      <c r="F81" s="72"/>
      <c r="G81" s="72"/>
      <c r="H81" s="72"/>
      <c r="I81" s="76"/>
      <c r="J81" s="74"/>
      <c r="K81" s="59"/>
      <c r="L81" s="72"/>
      <c r="M81" s="72"/>
      <c r="N81" s="72"/>
      <c r="O81" s="72"/>
      <c r="P81" s="65"/>
      <c r="Q81" s="74"/>
      <c r="R81" s="72"/>
      <c r="S81" s="72"/>
      <c r="T81" s="72"/>
      <c r="U81" s="76"/>
      <c r="V81" s="72"/>
      <c r="W81" s="76"/>
      <c r="X81" s="74"/>
      <c r="Y81" s="72"/>
      <c r="Z81" s="72"/>
      <c r="AA81" s="72"/>
      <c r="AB81" s="72"/>
      <c r="AC81" s="72"/>
      <c r="AD81" s="72"/>
      <c r="AE81" s="74"/>
      <c r="AF81" s="59"/>
      <c r="AG81" s="78"/>
      <c r="AH81" s="72"/>
      <c r="AI81" s="72"/>
      <c r="AJ81" s="75"/>
      <c r="AK81" s="76"/>
      <c r="AL81" s="74"/>
      <c r="AM81" s="77"/>
      <c r="AN81" s="72"/>
      <c r="AO81" s="72"/>
      <c r="AP81" s="72"/>
      <c r="AQ81" s="75"/>
      <c r="AR81" s="74"/>
      <c r="AS81" s="79">
        <f t="shared" si="15"/>
        <v>0</v>
      </c>
      <c r="AT81" s="80">
        <f t="shared" si="15"/>
        <v>0</v>
      </c>
      <c r="AU81" s="80">
        <f t="shared" si="15"/>
        <v>0</v>
      </c>
      <c r="AV81" s="81">
        <f t="shared" si="15"/>
        <v>0</v>
      </c>
      <c r="AW81" s="7">
        <f t="shared" si="15"/>
        <v>0</v>
      </c>
    </row>
    <row r="82" spans="1:49" ht="18" customHeight="1" thickBot="1" x14ac:dyDescent="0.3">
      <c r="A82" s="47"/>
      <c r="B82" s="89"/>
      <c r="C82" s="90"/>
      <c r="D82" s="91"/>
      <c r="E82" s="92"/>
      <c r="F82" s="92"/>
      <c r="G82" s="92"/>
      <c r="H82" s="92"/>
      <c r="I82" s="92"/>
      <c r="J82" s="93"/>
      <c r="K82" s="91"/>
      <c r="L82" s="92"/>
      <c r="M82" s="92"/>
      <c r="N82" s="92"/>
      <c r="O82" s="92"/>
      <c r="P82" s="94"/>
      <c r="Q82" s="93"/>
      <c r="R82" s="91"/>
      <c r="S82" s="95"/>
      <c r="T82" s="95"/>
      <c r="U82" s="95"/>
      <c r="V82" s="92"/>
      <c r="W82" s="94"/>
      <c r="X82" s="93"/>
      <c r="Y82" s="96"/>
      <c r="Z82" s="95"/>
      <c r="AA82" s="95"/>
      <c r="AB82" s="95"/>
      <c r="AC82" s="92"/>
      <c r="AD82" s="94"/>
      <c r="AE82" s="93"/>
      <c r="AF82" s="91"/>
      <c r="AG82" s="95"/>
      <c r="AH82" s="95"/>
      <c r="AI82" s="95"/>
      <c r="AJ82" s="97"/>
      <c r="AK82" s="94"/>
      <c r="AL82" s="93"/>
      <c r="AM82" s="98"/>
      <c r="AN82" s="95"/>
      <c r="AO82" s="95"/>
      <c r="AP82" s="95"/>
      <c r="AQ82" s="97"/>
      <c r="AR82" s="99"/>
      <c r="AS82" s="100">
        <f t="shared" si="15"/>
        <v>0</v>
      </c>
      <c r="AT82" s="101">
        <f t="shared" si="15"/>
        <v>0</v>
      </c>
      <c r="AU82" s="101">
        <f t="shared" si="15"/>
        <v>0</v>
      </c>
      <c r="AV82" s="102">
        <f t="shared" si="15"/>
        <v>0</v>
      </c>
      <c r="AW82" s="7">
        <f t="shared" si="15"/>
        <v>0</v>
      </c>
    </row>
    <row r="83" spans="1:49" ht="18" customHeight="1" x14ac:dyDescent="0.25">
      <c r="A83" s="47"/>
      <c r="B83" s="103"/>
      <c r="C83" s="25"/>
      <c r="D83" s="25"/>
      <c r="E83" s="25"/>
      <c r="F83" s="25"/>
      <c r="G83" s="25"/>
      <c r="H83" s="25"/>
      <c r="I83" s="25"/>
      <c r="J83" s="103"/>
      <c r="K83" s="103"/>
      <c r="L83" s="25"/>
      <c r="M83" s="25"/>
      <c r="N83" s="25"/>
      <c r="O83" s="25"/>
      <c r="P83" s="25"/>
      <c r="Q83" s="25"/>
      <c r="R83" s="25"/>
      <c r="S83" s="103"/>
      <c r="T83" s="103"/>
      <c r="U83" s="25"/>
      <c r="V83" s="25"/>
      <c r="W83" s="25"/>
      <c r="X83" s="25"/>
      <c r="Y83" s="25"/>
      <c r="Z83" s="25"/>
      <c r="AA83" s="25"/>
      <c r="AB83" s="25"/>
    </row>
    <row r="84" spans="1:49" ht="18" customHeight="1" thickBot="1" x14ac:dyDescent="0.3">
      <c r="A84" s="47"/>
      <c r="B84" s="161" t="s">
        <v>44</v>
      </c>
      <c r="C84" s="161"/>
      <c r="D84" s="161"/>
      <c r="E84" s="161"/>
      <c r="F84" s="161"/>
      <c r="G84" s="161"/>
      <c r="H84" s="161"/>
      <c r="I84" s="161"/>
      <c r="J84" s="103"/>
      <c r="K84" s="103">
        <v>9</v>
      </c>
      <c r="L84" s="25"/>
      <c r="M84" s="25"/>
      <c r="N84" s="25"/>
      <c r="O84" s="25"/>
      <c r="P84" s="25"/>
      <c r="Q84" s="25"/>
      <c r="R84" s="25"/>
      <c r="S84" s="103"/>
      <c r="T84" s="103"/>
      <c r="U84" s="25"/>
      <c r="V84" s="25"/>
      <c r="W84" s="25"/>
      <c r="X84" s="25"/>
      <c r="Y84" s="25"/>
      <c r="Z84" s="25"/>
      <c r="AA84" s="25"/>
      <c r="AB84" s="104"/>
    </row>
    <row r="85" spans="1:49" ht="18" customHeight="1" thickBot="1" x14ac:dyDescent="0.3">
      <c r="A85" s="47"/>
      <c r="B85" s="36" t="s">
        <v>23</v>
      </c>
      <c r="C85" s="121" t="s">
        <v>24</v>
      </c>
      <c r="D85" s="38" t="s">
        <v>25</v>
      </c>
      <c r="E85" s="39" t="s">
        <v>26</v>
      </c>
      <c r="F85" s="39" t="s">
        <v>27</v>
      </c>
      <c r="G85" s="39" t="s">
        <v>28</v>
      </c>
      <c r="H85" s="39" t="s">
        <v>29</v>
      </c>
      <c r="I85" s="40" t="s">
        <v>30</v>
      </c>
      <c r="J85" s="41" t="s">
        <v>24</v>
      </c>
      <c r="K85" s="42" t="s">
        <v>25</v>
      </c>
      <c r="L85" s="39" t="s">
        <v>26</v>
      </c>
      <c r="M85" s="39" t="s">
        <v>27</v>
      </c>
      <c r="N85" s="39" t="s">
        <v>28</v>
      </c>
      <c r="O85" s="39" t="s">
        <v>29</v>
      </c>
      <c r="P85" s="40" t="s">
        <v>30</v>
      </c>
      <c r="Q85" s="106" t="s">
        <v>24</v>
      </c>
      <c r="R85" s="38" t="s">
        <v>25</v>
      </c>
      <c r="S85" s="39" t="s">
        <v>26</v>
      </c>
      <c r="T85" s="39" t="s">
        <v>27</v>
      </c>
      <c r="U85" s="39" t="s">
        <v>28</v>
      </c>
      <c r="V85" s="39" t="s">
        <v>29</v>
      </c>
      <c r="W85" s="40" t="s">
        <v>30</v>
      </c>
      <c r="X85" s="41" t="s">
        <v>24</v>
      </c>
      <c r="Y85" s="42" t="s">
        <v>25</v>
      </c>
      <c r="Z85" s="39" t="s">
        <v>26</v>
      </c>
      <c r="AA85" s="39" t="s">
        <v>27</v>
      </c>
      <c r="AB85" s="39" t="s">
        <v>28</v>
      </c>
      <c r="AC85" s="39" t="s">
        <v>29</v>
      </c>
      <c r="AD85" s="40" t="s">
        <v>30</v>
      </c>
      <c r="AE85" s="106" t="s">
        <v>24</v>
      </c>
      <c r="AF85" s="38" t="s">
        <v>25</v>
      </c>
      <c r="AG85" s="39" t="s">
        <v>26</v>
      </c>
      <c r="AH85" s="39" t="s">
        <v>27</v>
      </c>
      <c r="AI85" s="39" t="s">
        <v>28</v>
      </c>
      <c r="AJ85" s="39" t="s">
        <v>29</v>
      </c>
      <c r="AK85" s="40" t="s">
        <v>30</v>
      </c>
      <c r="AL85" s="41" t="s">
        <v>24</v>
      </c>
      <c r="AM85" s="42" t="s">
        <v>25</v>
      </c>
      <c r="AN85" s="39" t="s">
        <v>26</v>
      </c>
      <c r="AO85" s="39" t="s">
        <v>27</v>
      </c>
      <c r="AP85" s="39" t="s">
        <v>28</v>
      </c>
      <c r="AQ85" s="39" t="s">
        <v>29</v>
      </c>
      <c r="AR85" s="41" t="s">
        <v>30</v>
      </c>
      <c r="AS85" s="45" t="str">
        <f>+AS77</f>
        <v>F26</v>
      </c>
      <c r="AT85" s="45" t="str">
        <f>+AT77</f>
        <v>F25</v>
      </c>
      <c r="AU85" s="45" t="str">
        <f>+AU77</f>
        <v>DFT</v>
      </c>
      <c r="AV85" s="46" t="s">
        <v>34</v>
      </c>
      <c r="AW85" s="7" t="s">
        <v>35</v>
      </c>
    </row>
    <row r="86" spans="1:49" ht="18" customHeight="1" thickBot="1" x14ac:dyDescent="0.3">
      <c r="A86" s="47"/>
      <c r="B86" s="48"/>
      <c r="C86" s="122">
        <f>IF($U$5=1,1,0)</f>
        <v>0</v>
      </c>
      <c r="D86" s="50">
        <f>IF($V$5=1,1, IF(C86&gt;0,C86+1, 0))</f>
        <v>0</v>
      </c>
      <c r="E86" s="51">
        <f>IF($W$5=1,1, IF(D86&gt;0,D86+1, 0))</f>
        <v>1</v>
      </c>
      <c r="F86" s="51">
        <f>IF($X$5=1,1, IF(E86&gt;0,E86+1, 0))</f>
        <v>2</v>
      </c>
      <c r="G86" s="51">
        <f>IF($Y$5=1,1, IF(F86&gt;0,F86+1, 0))</f>
        <v>3</v>
      </c>
      <c r="H86" s="52">
        <f>IF($Z$5=1,1, IF(G86&gt;0,G86+1, 0))</f>
        <v>4</v>
      </c>
      <c r="I86" s="53">
        <f>IF($AA$5=1,1, IF(H86&gt;0,H86+1, 0))</f>
        <v>5</v>
      </c>
      <c r="J86" s="54">
        <f t="shared" ref="J86:AR86" si="16">IF(AND(I86&gt;0,I86&lt;30),I86+1,0)</f>
        <v>6</v>
      </c>
      <c r="K86" s="55">
        <f t="shared" si="16"/>
        <v>7</v>
      </c>
      <c r="L86" s="51">
        <f t="shared" si="16"/>
        <v>8</v>
      </c>
      <c r="M86" s="51">
        <f t="shared" si="16"/>
        <v>9</v>
      </c>
      <c r="N86" s="51">
        <f t="shared" si="16"/>
        <v>10</v>
      </c>
      <c r="O86" s="52">
        <f t="shared" si="16"/>
        <v>11</v>
      </c>
      <c r="P86" s="53">
        <f t="shared" si="16"/>
        <v>12</v>
      </c>
      <c r="Q86" s="107">
        <f t="shared" si="16"/>
        <v>13</v>
      </c>
      <c r="R86" s="50">
        <f t="shared" si="16"/>
        <v>14</v>
      </c>
      <c r="S86" s="51">
        <f t="shared" si="16"/>
        <v>15</v>
      </c>
      <c r="T86" s="51">
        <f t="shared" si="16"/>
        <v>16</v>
      </c>
      <c r="U86" s="51">
        <f t="shared" si="16"/>
        <v>17</v>
      </c>
      <c r="V86" s="52">
        <f t="shared" si="16"/>
        <v>18</v>
      </c>
      <c r="W86" s="53">
        <f t="shared" si="16"/>
        <v>19</v>
      </c>
      <c r="X86" s="54">
        <f t="shared" si="16"/>
        <v>20</v>
      </c>
      <c r="Y86" s="55">
        <f>IF(AND(X86&gt;0,X86&lt;30),X86+1,0)</f>
        <v>21</v>
      </c>
      <c r="Z86" s="51">
        <f t="shared" si="16"/>
        <v>22</v>
      </c>
      <c r="AA86" s="51">
        <f t="shared" si="16"/>
        <v>23</v>
      </c>
      <c r="AB86" s="51">
        <f t="shared" si="16"/>
        <v>24</v>
      </c>
      <c r="AC86" s="52">
        <f t="shared" si="16"/>
        <v>25</v>
      </c>
      <c r="AD86" s="53">
        <f t="shared" si="16"/>
        <v>26</v>
      </c>
      <c r="AE86" s="107">
        <f t="shared" si="16"/>
        <v>27</v>
      </c>
      <c r="AF86" s="50">
        <f t="shared" si="16"/>
        <v>28</v>
      </c>
      <c r="AG86" s="51">
        <f t="shared" si="16"/>
        <v>29</v>
      </c>
      <c r="AH86" s="51">
        <f t="shared" si="16"/>
        <v>30</v>
      </c>
      <c r="AI86" s="51">
        <f t="shared" si="16"/>
        <v>0</v>
      </c>
      <c r="AJ86" s="52">
        <f t="shared" si="16"/>
        <v>0</v>
      </c>
      <c r="AK86" s="53">
        <f t="shared" si="16"/>
        <v>0</v>
      </c>
      <c r="AL86" s="56">
        <f t="shared" si="16"/>
        <v>0</v>
      </c>
      <c r="AM86" s="55">
        <f t="shared" si="16"/>
        <v>0</v>
      </c>
      <c r="AN86" s="51">
        <f t="shared" si="16"/>
        <v>0</v>
      </c>
      <c r="AO86" s="51">
        <f t="shared" si="16"/>
        <v>0</v>
      </c>
      <c r="AP86" s="51">
        <f t="shared" si="16"/>
        <v>0</v>
      </c>
      <c r="AQ86" s="52">
        <f t="shared" si="16"/>
        <v>0</v>
      </c>
      <c r="AR86" s="56">
        <f t="shared" si="16"/>
        <v>0</v>
      </c>
    </row>
    <row r="87" spans="1:49" ht="18" customHeight="1" x14ac:dyDescent="0.25">
      <c r="A87" s="47"/>
      <c r="B87" s="109" t="str">
        <f>+$B$23</f>
        <v>Pedro</v>
      </c>
      <c r="C87" s="123"/>
      <c r="D87" s="63"/>
      <c r="E87" s="60"/>
      <c r="F87" s="60"/>
      <c r="G87" s="60"/>
      <c r="H87" s="64"/>
      <c r="I87" s="65"/>
      <c r="J87" s="62"/>
      <c r="K87" s="66"/>
      <c r="L87" s="60"/>
      <c r="M87" s="60"/>
      <c r="N87" s="60"/>
      <c r="O87" s="64"/>
      <c r="P87" s="65"/>
      <c r="Q87" s="67"/>
      <c r="R87" s="63"/>
      <c r="S87" s="60"/>
      <c r="T87" s="60"/>
      <c r="U87" s="60"/>
      <c r="V87" s="64"/>
      <c r="W87" s="65"/>
      <c r="X87" s="62"/>
      <c r="Y87" s="66"/>
      <c r="Z87" s="60"/>
      <c r="AA87" s="60"/>
      <c r="AB87" s="60"/>
      <c r="AC87" s="64"/>
      <c r="AD87" s="65"/>
      <c r="AE87" s="67"/>
      <c r="AF87" s="63"/>
      <c r="AG87" s="60"/>
      <c r="AH87" s="60"/>
      <c r="AI87" s="60"/>
      <c r="AJ87" s="64"/>
      <c r="AK87" s="65"/>
      <c r="AL87" s="62"/>
      <c r="AM87" s="66"/>
      <c r="AN87" s="60"/>
      <c r="AO87" s="60"/>
      <c r="AP87" s="60"/>
      <c r="AQ87" s="64"/>
      <c r="AR87" s="62"/>
      <c r="AS87" s="68">
        <f t="shared" ref="AS87:AW90" si="17">COUNTIF($C87:$AR87,AS$21)</f>
        <v>0</v>
      </c>
      <c r="AT87" s="69">
        <f t="shared" si="17"/>
        <v>0</v>
      </c>
      <c r="AU87" s="69">
        <f t="shared" si="17"/>
        <v>0</v>
      </c>
      <c r="AV87" s="70">
        <f t="shared" si="17"/>
        <v>0</v>
      </c>
      <c r="AW87" s="7">
        <f>COUNTIF($C87:$AR87,AW$21)</f>
        <v>0</v>
      </c>
    </row>
    <row r="88" spans="1:49" ht="18" customHeight="1" x14ac:dyDescent="0.25">
      <c r="A88" s="47"/>
      <c r="B88" s="57" t="str">
        <f>+$B$24</f>
        <v>Miguel</v>
      </c>
      <c r="C88" s="124"/>
      <c r="D88" s="114"/>
      <c r="E88" s="73"/>
      <c r="F88" s="73"/>
      <c r="G88" s="73"/>
      <c r="I88" s="86"/>
      <c r="J88" s="87"/>
      <c r="K88" s="88"/>
      <c r="L88" s="73"/>
      <c r="M88" s="73"/>
      <c r="N88" s="73"/>
      <c r="O88" s="88"/>
      <c r="P88" s="86"/>
      <c r="Q88" s="113"/>
      <c r="R88" s="114"/>
      <c r="S88" s="73"/>
      <c r="T88" s="73"/>
      <c r="U88" s="73"/>
      <c r="V88" s="73"/>
      <c r="W88" s="86"/>
      <c r="X88" s="87"/>
      <c r="Y88" s="88"/>
      <c r="Z88" s="73"/>
      <c r="AA88" s="73"/>
      <c r="AB88" s="73"/>
      <c r="AC88" s="85"/>
      <c r="AD88" s="86"/>
      <c r="AE88" s="113"/>
      <c r="AF88" s="114"/>
      <c r="AG88" s="73"/>
      <c r="AH88" s="73"/>
      <c r="AI88" s="72"/>
      <c r="AJ88" s="72"/>
      <c r="AK88" s="76"/>
      <c r="AL88" s="74"/>
      <c r="AM88" s="77"/>
      <c r="AN88" s="72"/>
      <c r="AO88" s="72"/>
      <c r="AP88" s="72"/>
      <c r="AQ88" s="75"/>
      <c r="AR88" s="74"/>
      <c r="AS88" s="79">
        <f t="shared" si="17"/>
        <v>0</v>
      </c>
      <c r="AT88" s="80">
        <f t="shared" si="17"/>
        <v>0</v>
      </c>
      <c r="AU88" s="80">
        <f t="shared" si="17"/>
        <v>0</v>
      </c>
      <c r="AV88" s="81">
        <f t="shared" si="17"/>
        <v>0</v>
      </c>
      <c r="AW88" s="7">
        <f>COUNTIF($C88:$AR88,AW$21)</f>
        <v>0</v>
      </c>
    </row>
    <row r="89" spans="1:49" ht="18" customHeight="1" x14ac:dyDescent="0.25">
      <c r="A89" s="47"/>
      <c r="B89" s="57" t="str">
        <f>+$B$25</f>
        <v>Gichelson</v>
      </c>
      <c r="C89" s="71"/>
      <c r="D89" s="114"/>
      <c r="E89" s="73"/>
      <c r="F89" s="73"/>
      <c r="G89" s="73"/>
      <c r="H89" s="85"/>
      <c r="I89" s="86"/>
      <c r="J89" s="87"/>
      <c r="K89" s="88"/>
      <c r="L89" s="73"/>
      <c r="M89" s="73"/>
      <c r="N89" s="73"/>
      <c r="O89" s="88"/>
      <c r="P89" s="86"/>
      <c r="Q89" s="113"/>
      <c r="R89" s="114"/>
      <c r="S89" s="73"/>
      <c r="T89" s="73"/>
      <c r="U89" s="73"/>
      <c r="V89" s="73"/>
      <c r="W89" s="86"/>
      <c r="X89" s="87"/>
      <c r="Y89" s="88"/>
      <c r="Z89" s="73"/>
      <c r="AA89" s="73"/>
      <c r="AB89" s="73"/>
      <c r="AC89" s="85"/>
      <c r="AD89" s="86"/>
      <c r="AE89" s="113"/>
      <c r="AF89" s="114"/>
      <c r="AG89" s="73"/>
      <c r="AH89" s="73"/>
      <c r="AI89" s="72"/>
      <c r="AJ89" s="72"/>
      <c r="AK89" s="76"/>
      <c r="AL89" s="74"/>
      <c r="AM89" s="114"/>
      <c r="AN89" s="73"/>
      <c r="AO89" s="72"/>
      <c r="AP89" s="72"/>
      <c r="AQ89" s="75"/>
      <c r="AR89" s="74"/>
      <c r="AS89" s="79">
        <f t="shared" si="17"/>
        <v>0</v>
      </c>
      <c r="AT89" s="80">
        <f t="shared" si="17"/>
        <v>0</v>
      </c>
      <c r="AU89" s="80">
        <f t="shared" si="17"/>
        <v>0</v>
      </c>
      <c r="AV89" s="81">
        <f t="shared" si="17"/>
        <v>0</v>
      </c>
      <c r="AW89" s="7">
        <f t="shared" si="17"/>
        <v>0</v>
      </c>
    </row>
    <row r="90" spans="1:49" ht="18" customHeight="1" thickBot="1" x14ac:dyDescent="0.3">
      <c r="A90" s="47"/>
      <c r="B90" s="89"/>
      <c r="C90" s="90"/>
      <c r="D90" s="91"/>
      <c r="E90" s="92"/>
      <c r="F90" s="92"/>
      <c r="G90" s="92"/>
      <c r="H90" s="92"/>
      <c r="I90" s="92"/>
      <c r="J90" s="93"/>
      <c r="K90" s="91"/>
      <c r="L90" s="92"/>
      <c r="M90" s="92"/>
      <c r="N90" s="92"/>
      <c r="O90" s="92"/>
      <c r="P90" s="94"/>
      <c r="Q90" s="93"/>
      <c r="R90" s="91"/>
      <c r="S90" s="95"/>
      <c r="T90" s="95"/>
      <c r="U90" s="95"/>
      <c r="V90" s="92"/>
      <c r="W90" s="94"/>
      <c r="X90" s="93"/>
      <c r="Y90" s="96"/>
      <c r="Z90" s="95"/>
      <c r="AA90" s="95"/>
      <c r="AB90" s="95"/>
      <c r="AC90" s="92"/>
      <c r="AD90" s="94"/>
      <c r="AE90" s="93"/>
      <c r="AF90" s="91"/>
      <c r="AG90" s="95"/>
      <c r="AH90" s="95"/>
      <c r="AI90" s="95"/>
      <c r="AJ90" s="97"/>
      <c r="AK90" s="94"/>
      <c r="AL90" s="93"/>
      <c r="AM90" s="98"/>
      <c r="AN90" s="95"/>
      <c r="AO90" s="95"/>
      <c r="AP90" s="95"/>
      <c r="AQ90" s="97"/>
      <c r="AR90" s="99"/>
      <c r="AS90" s="100">
        <f t="shared" si="17"/>
        <v>0</v>
      </c>
      <c r="AT90" s="101">
        <f t="shared" si="17"/>
        <v>0</v>
      </c>
      <c r="AU90" s="101">
        <f t="shared" si="17"/>
        <v>0</v>
      </c>
      <c r="AV90" s="102">
        <f t="shared" si="17"/>
        <v>0</v>
      </c>
      <c r="AW90" s="7">
        <f t="shared" si="17"/>
        <v>0</v>
      </c>
    </row>
    <row r="91" spans="1:49" ht="18" customHeight="1" x14ac:dyDescent="0.25">
      <c r="A91" s="47"/>
      <c r="B91" s="103"/>
      <c r="C91" s="25"/>
      <c r="D91" s="25"/>
      <c r="E91" s="25"/>
      <c r="F91" s="25"/>
      <c r="G91" s="25"/>
      <c r="H91" s="25"/>
      <c r="I91" s="25"/>
      <c r="J91" s="103"/>
      <c r="K91" s="103"/>
      <c r="L91" s="25"/>
      <c r="M91" s="25"/>
      <c r="N91" s="25"/>
      <c r="O91" s="25"/>
      <c r="P91" s="25"/>
      <c r="Q91" s="25"/>
      <c r="R91" s="25"/>
      <c r="S91" s="103"/>
      <c r="T91" s="103"/>
      <c r="U91" s="25"/>
      <c r="V91" s="25"/>
      <c r="W91" s="25"/>
      <c r="X91" s="25"/>
      <c r="Y91" s="25"/>
      <c r="Z91" s="25"/>
      <c r="AA91" s="25"/>
      <c r="AB91" s="25"/>
    </row>
    <row r="92" spans="1:49" s="32" customFormat="1" ht="18" customHeight="1" thickBot="1" x14ac:dyDescent="0.3">
      <c r="A92" s="30"/>
      <c r="B92" s="161" t="s">
        <v>45</v>
      </c>
      <c r="C92" s="161"/>
      <c r="D92" s="161"/>
      <c r="E92" s="161"/>
      <c r="F92" s="161"/>
      <c r="G92" s="161"/>
      <c r="H92" s="161"/>
      <c r="I92" s="161"/>
      <c r="J92" s="31"/>
      <c r="K92" s="32">
        <v>10</v>
      </c>
      <c r="S92" s="31"/>
      <c r="AB92" s="33"/>
    </row>
    <row r="93" spans="1:49" ht="18" customHeight="1" thickBot="1" x14ac:dyDescent="0.3">
      <c r="A93" s="47"/>
      <c r="B93" s="36" t="s">
        <v>23</v>
      </c>
      <c r="C93" s="121" t="s">
        <v>24</v>
      </c>
      <c r="D93" s="38" t="s">
        <v>25</v>
      </c>
      <c r="E93" s="39" t="s">
        <v>26</v>
      </c>
      <c r="F93" s="39" t="s">
        <v>27</v>
      </c>
      <c r="G93" s="39" t="s">
        <v>28</v>
      </c>
      <c r="H93" s="39" t="s">
        <v>29</v>
      </c>
      <c r="I93" s="40" t="s">
        <v>30</v>
      </c>
      <c r="J93" s="41" t="s">
        <v>24</v>
      </c>
      <c r="K93" s="42" t="s">
        <v>25</v>
      </c>
      <c r="L93" s="39" t="s">
        <v>26</v>
      </c>
      <c r="M93" s="39" t="s">
        <v>27</v>
      </c>
      <c r="N93" s="39" t="s">
        <v>28</v>
      </c>
      <c r="O93" s="39" t="s">
        <v>29</v>
      </c>
      <c r="P93" s="40" t="s">
        <v>30</v>
      </c>
      <c r="Q93" s="106" t="s">
        <v>24</v>
      </c>
      <c r="R93" s="38" t="s">
        <v>25</v>
      </c>
      <c r="S93" s="39" t="s">
        <v>26</v>
      </c>
      <c r="T93" s="39" t="s">
        <v>27</v>
      </c>
      <c r="U93" s="39" t="s">
        <v>28</v>
      </c>
      <c r="V93" s="39" t="s">
        <v>29</v>
      </c>
      <c r="W93" s="40" t="s">
        <v>30</v>
      </c>
      <c r="X93" s="41" t="s">
        <v>24</v>
      </c>
      <c r="Y93" s="42" t="s">
        <v>25</v>
      </c>
      <c r="Z93" s="39" t="s">
        <v>26</v>
      </c>
      <c r="AA93" s="39" t="s">
        <v>27</v>
      </c>
      <c r="AB93" s="39" t="s">
        <v>28</v>
      </c>
      <c r="AC93" s="39" t="s">
        <v>29</v>
      </c>
      <c r="AD93" s="40" t="s">
        <v>30</v>
      </c>
      <c r="AE93" s="106" t="s">
        <v>24</v>
      </c>
      <c r="AF93" s="38" t="s">
        <v>25</v>
      </c>
      <c r="AG93" s="39" t="s">
        <v>26</v>
      </c>
      <c r="AH93" s="39" t="s">
        <v>27</v>
      </c>
      <c r="AI93" s="39" t="s">
        <v>28</v>
      </c>
      <c r="AJ93" s="39" t="s">
        <v>29</v>
      </c>
      <c r="AK93" s="40" t="s">
        <v>30</v>
      </c>
      <c r="AL93" s="41" t="s">
        <v>24</v>
      </c>
      <c r="AM93" s="42" t="s">
        <v>25</v>
      </c>
      <c r="AN93" s="39" t="s">
        <v>26</v>
      </c>
      <c r="AO93" s="39" t="s">
        <v>27</v>
      </c>
      <c r="AP93" s="39" t="s">
        <v>28</v>
      </c>
      <c r="AQ93" s="39" t="s">
        <v>29</v>
      </c>
      <c r="AR93" s="41" t="s">
        <v>30</v>
      </c>
      <c r="AS93" s="45" t="str">
        <f>+AS85</f>
        <v>F26</v>
      </c>
      <c r="AT93" s="45" t="str">
        <f>+AT85</f>
        <v>F25</v>
      </c>
      <c r="AU93" s="45" t="str">
        <f>+AU85</f>
        <v>DFT</v>
      </c>
      <c r="AV93" s="46" t="s">
        <v>34</v>
      </c>
      <c r="AW93" s="7" t="s">
        <v>35</v>
      </c>
    </row>
    <row r="94" spans="1:49" ht="18" customHeight="1" thickBot="1" x14ac:dyDescent="0.3">
      <c r="A94" s="47"/>
      <c r="B94" s="48"/>
      <c r="C94" s="128">
        <f>IF($C$6=1,1,0)</f>
        <v>0</v>
      </c>
      <c r="D94" s="50">
        <f>IF($D$6=1,1, IF(C94&gt;0,C94+1, 0))</f>
        <v>0</v>
      </c>
      <c r="E94" s="51">
        <f>IF($E$6=1,1, IF(D94&gt;0,D94+1, 0))</f>
        <v>0</v>
      </c>
      <c r="F94" s="51">
        <f>IF($F$6=1,1, IF(E94&gt;0,E94+1, 0))</f>
        <v>0</v>
      </c>
      <c r="G94" s="51">
        <f>IF($G$6=1,1, IF(F94&gt;0,F94+1, 0))</f>
        <v>1</v>
      </c>
      <c r="H94" s="52">
        <f>IF($H$6=1,1, IF(G94&gt;0,G94+1, 0))</f>
        <v>2</v>
      </c>
      <c r="I94" s="53">
        <f>IF($I$6=1,1, IF(H94&gt;0,H94+1, 0))</f>
        <v>3</v>
      </c>
      <c r="J94" s="54">
        <f t="shared" ref="J94:AR94" si="18">IF(AND(I94&gt;0,I94&lt;31),I94+1,0)</f>
        <v>4</v>
      </c>
      <c r="K94" s="55">
        <f t="shared" si="18"/>
        <v>5</v>
      </c>
      <c r="L94" s="51">
        <f t="shared" si="18"/>
        <v>6</v>
      </c>
      <c r="M94" s="51">
        <f t="shared" si="18"/>
        <v>7</v>
      </c>
      <c r="N94" s="51">
        <f t="shared" si="18"/>
        <v>8</v>
      </c>
      <c r="O94" s="52">
        <f t="shared" si="18"/>
        <v>9</v>
      </c>
      <c r="P94" s="53">
        <f t="shared" si="18"/>
        <v>10</v>
      </c>
      <c r="Q94" s="107">
        <f t="shared" si="18"/>
        <v>11</v>
      </c>
      <c r="R94" s="50">
        <f t="shared" si="18"/>
        <v>12</v>
      </c>
      <c r="S94" s="51">
        <f t="shared" si="18"/>
        <v>13</v>
      </c>
      <c r="T94" s="51">
        <f t="shared" si="18"/>
        <v>14</v>
      </c>
      <c r="U94" s="51">
        <f t="shared" si="18"/>
        <v>15</v>
      </c>
      <c r="V94" s="52">
        <f t="shared" si="18"/>
        <v>16</v>
      </c>
      <c r="W94" s="53">
        <f t="shared" si="18"/>
        <v>17</v>
      </c>
      <c r="X94" s="54">
        <f t="shared" si="18"/>
        <v>18</v>
      </c>
      <c r="Y94" s="55">
        <f>IF(AND(X94&gt;0,X94&lt;31),X94+1,0)</f>
        <v>19</v>
      </c>
      <c r="Z94" s="51">
        <f t="shared" si="18"/>
        <v>20</v>
      </c>
      <c r="AA94" s="51">
        <f t="shared" si="18"/>
        <v>21</v>
      </c>
      <c r="AB94" s="51">
        <f t="shared" si="18"/>
        <v>22</v>
      </c>
      <c r="AC94" s="52">
        <f t="shared" si="18"/>
        <v>23</v>
      </c>
      <c r="AD94" s="53">
        <f t="shared" si="18"/>
        <v>24</v>
      </c>
      <c r="AE94" s="107">
        <f t="shared" si="18"/>
        <v>25</v>
      </c>
      <c r="AF94" s="50">
        <f t="shared" si="18"/>
        <v>26</v>
      </c>
      <c r="AG94" s="51">
        <f t="shared" si="18"/>
        <v>27</v>
      </c>
      <c r="AH94" s="51">
        <f t="shared" si="18"/>
        <v>28</v>
      </c>
      <c r="AI94" s="51">
        <f t="shared" si="18"/>
        <v>29</v>
      </c>
      <c r="AJ94" s="52">
        <f t="shared" si="18"/>
        <v>30</v>
      </c>
      <c r="AK94" s="53">
        <f t="shared" si="18"/>
        <v>31</v>
      </c>
      <c r="AL94" s="56">
        <f t="shared" si="18"/>
        <v>0</v>
      </c>
      <c r="AM94" s="55">
        <f t="shared" si="18"/>
        <v>0</v>
      </c>
      <c r="AN94" s="51">
        <f t="shared" si="18"/>
        <v>0</v>
      </c>
      <c r="AO94" s="51">
        <f t="shared" si="18"/>
        <v>0</v>
      </c>
      <c r="AP94" s="51">
        <f t="shared" si="18"/>
        <v>0</v>
      </c>
      <c r="AQ94" s="52">
        <f t="shared" si="18"/>
        <v>0</v>
      </c>
      <c r="AR94" s="56">
        <f t="shared" si="18"/>
        <v>0</v>
      </c>
    </row>
    <row r="95" spans="1:49" ht="18" customHeight="1" x14ac:dyDescent="0.25">
      <c r="A95" s="47"/>
      <c r="B95" s="109" t="str">
        <f>+$B$23</f>
        <v>Pedro</v>
      </c>
      <c r="C95" s="129"/>
      <c r="D95" s="63"/>
      <c r="E95" s="60"/>
      <c r="F95" s="60"/>
      <c r="G95" s="60"/>
      <c r="H95" s="86"/>
      <c r="I95" s="65"/>
      <c r="J95" s="62"/>
      <c r="K95" s="66"/>
      <c r="L95" s="60"/>
      <c r="M95" s="60"/>
      <c r="N95" s="60"/>
      <c r="O95" s="64"/>
      <c r="P95" s="65"/>
      <c r="Q95" s="67"/>
      <c r="R95" s="63"/>
      <c r="S95" s="60"/>
      <c r="T95" s="60"/>
      <c r="U95" s="60"/>
      <c r="V95" s="64"/>
      <c r="W95" s="65"/>
      <c r="X95" s="62"/>
      <c r="Y95" s="66"/>
      <c r="Z95" s="60"/>
      <c r="AA95" s="60"/>
      <c r="AB95" s="60"/>
      <c r="AC95" s="64"/>
      <c r="AD95" s="65"/>
      <c r="AE95" s="67"/>
      <c r="AF95" s="63"/>
      <c r="AG95" s="60"/>
      <c r="AH95" s="60"/>
      <c r="AI95" s="60"/>
      <c r="AJ95" s="64"/>
      <c r="AK95" s="65"/>
      <c r="AL95" s="62"/>
      <c r="AM95" s="66"/>
      <c r="AN95" s="60"/>
      <c r="AO95" s="60"/>
      <c r="AP95" s="60"/>
      <c r="AQ95" s="64"/>
      <c r="AR95" s="62"/>
      <c r="AS95" s="68">
        <f t="shared" ref="AS95:AW98" si="19">COUNTIF($C95:$AR95,AS$21)</f>
        <v>0</v>
      </c>
      <c r="AT95" s="69">
        <f t="shared" si="19"/>
        <v>0</v>
      </c>
      <c r="AU95" s="69">
        <f t="shared" si="19"/>
        <v>0</v>
      </c>
      <c r="AV95" s="70">
        <f t="shared" si="19"/>
        <v>0</v>
      </c>
      <c r="AW95" s="7">
        <f>COUNTIF($C95:$AR95,AW$21)</f>
        <v>0</v>
      </c>
    </row>
    <row r="96" spans="1:49" ht="18" customHeight="1" x14ac:dyDescent="0.25">
      <c r="A96" s="47"/>
      <c r="B96" s="57" t="str">
        <f>+$B$24</f>
        <v>Miguel</v>
      </c>
      <c r="C96" s="78"/>
      <c r="D96" s="114"/>
      <c r="E96" s="73"/>
      <c r="F96" s="86"/>
      <c r="G96" s="86"/>
      <c r="H96" s="86"/>
      <c r="I96" s="86"/>
      <c r="J96" s="87"/>
      <c r="K96" s="88"/>
      <c r="L96" s="73"/>
      <c r="M96" s="73"/>
      <c r="N96" s="73"/>
      <c r="O96" s="85"/>
      <c r="P96" s="86"/>
      <c r="Q96" s="113"/>
      <c r="R96" s="114"/>
      <c r="S96" s="73"/>
      <c r="T96" s="73"/>
      <c r="U96" s="73"/>
      <c r="V96" s="85"/>
      <c r="W96" s="86"/>
      <c r="X96" s="87"/>
      <c r="Y96" s="88"/>
      <c r="Z96" s="73"/>
      <c r="AA96" s="73"/>
      <c r="AB96" s="73"/>
      <c r="AC96" s="85"/>
      <c r="AD96" s="86"/>
      <c r="AE96" s="113"/>
      <c r="AF96" s="114"/>
      <c r="AG96" s="72"/>
      <c r="AH96" s="72"/>
      <c r="AI96" s="72"/>
      <c r="AJ96" s="75"/>
      <c r="AK96" s="76"/>
      <c r="AL96" s="74"/>
      <c r="AM96" s="77"/>
      <c r="AN96" s="72"/>
      <c r="AO96" s="72"/>
      <c r="AP96" s="72"/>
      <c r="AQ96" s="75"/>
      <c r="AR96" s="74"/>
      <c r="AS96" s="79">
        <f t="shared" si="19"/>
        <v>0</v>
      </c>
      <c r="AT96" s="80">
        <f t="shared" si="19"/>
        <v>0</v>
      </c>
      <c r="AU96" s="80">
        <f t="shared" si="19"/>
        <v>0</v>
      </c>
      <c r="AV96" s="81">
        <f t="shared" si="19"/>
        <v>0</v>
      </c>
      <c r="AW96" s="7">
        <f>COUNTIF($C96:$AR96,AW$21)</f>
        <v>0</v>
      </c>
    </row>
    <row r="97" spans="1:49" ht="18" customHeight="1" x14ac:dyDescent="0.25">
      <c r="A97" s="47"/>
      <c r="B97" s="57" t="str">
        <f>+$B$25</f>
        <v>Gichelson</v>
      </c>
      <c r="C97" s="130"/>
      <c r="D97" s="114"/>
      <c r="E97" s="73"/>
      <c r="F97" s="86"/>
      <c r="G97" s="86"/>
      <c r="H97" s="86"/>
      <c r="I97" s="86"/>
      <c r="J97" s="87"/>
      <c r="K97" s="88"/>
      <c r="L97" s="73"/>
      <c r="M97" s="73"/>
      <c r="N97" s="73"/>
      <c r="O97" s="85"/>
      <c r="P97" s="86"/>
      <c r="Q97" s="113"/>
      <c r="R97" s="114"/>
      <c r="S97" s="73"/>
      <c r="T97" s="73"/>
      <c r="U97" s="73"/>
      <c r="V97" s="85"/>
      <c r="W97" s="86"/>
      <c r="X97" s="87"/>
      <c r="Y97" s="88"/>
      <c r="Z97" s="73"/>
      <c r="AA97" s="73"/>
      <c r="AB97" s="73"/>
      <c r="AC97" s="85"/>
      <c r="AD97" s="86"/>
      <c r="AE97" s="113"/>
      <c r="AF97" s="114"/>
      <c r="AG97" s="72"/>
      <c r="AH97" s="72"/>
      <c r="AI97" s="72"/>
      <c r="AJ97" s="75"/>
      <c r="AK97" s="76"/>
      <c r="AL97" s="74"/>
      <c r="AM97" s="77"/>
      <c r="AN97" s="72"/>
      <c r="AO97" s="72"/>
      <c r="AP97" s="72"/>
      <c r="AQ97" s="75"/>
      <c r="AR97" s="74"/>
      <c r="AS97" s="79">
        <f t="shared" si="19"/>
        <v>0</v>
      </c>
      <c r="AT97" s="80">
        <f t="shared" si="19"/>
        <v>0</v>
      </c>
      <c r="AU97" s="80">
        <f t="shared" si="19"/>
        <v>0</v>
      </c>
      <c r="AV97" s="81">
        <f t="shared" si="19"/>
        <v>0</v>
      </c>
      <c r="AW97" s="7">
        <f t="shared" si="19"/>
        <v>0</v>
      </c>
    </row>
    <row r="98" spans="1:49" ht="18" customHeight="1" thickBot="1" x14ac:dyDescent="0.3">
      <c r="A98" s="47"/>
      <c r="B98" s="89"/>
      <c r="C98" s="90"/>
      <c r="D98" s="91"/>
      <c r="E98" s="92"/>
      <c r="F98" s="92"/>
      <c r="G98" s="92"/>
      <c r="H98" s="92"/>
      <c r="I98" s="92"/>
      <c r="J98" s="93"/>
      <c r="K98" s="91"/>
      <c r="L98" s="92"/>
      <c r="M98" s="92"/>
      <c r="N98" s="92"/>
      <c r="O98" s="92"/>
      <c r="P98" s="94"/>
      <c r="Q98" s="93"/>
      <c r="R98" s="91"/>
      <c r="S98" s="95"/>
      <c r="T98" s="95"/>
      <c r="U98" s="95"/>
      <c r="V98" s="92"/>
      <c r="W98" s="94"/>
      <c r="X98" s="93"/>
      <c r="Y98" s="96"/>
      <c r="Z98" s="95"/>
      <c r="AA98" s="95"/>
      <c r="AB98" s="95"/>
      <c r="AC98" s="92"/>
      <c r="AD98" s="94"/>
      <c r="AE98" s="93"/>
      <c r="AF98" s="91"/>
      <c r="AG98" s="95"/>
      <c r="AH98" s="95"/>
      <c r="AI98" s="95"/>
      <c r="AJ98" s="97"/>
      <c r="AK98" s="94"/>
      <c r="AL98" s="93"/>
      <c r="AM98" s="98"/>
      <c r="AN98" s="95"/>
      <c r="AO98" s="95"/>
      <c r="AP98" s="95"/>
      <c r="AQ98" s="97"/>
      <c r="AR98" s="99"/>
      <c r="AS98" s="100">
        <f t="shared" si="19"/>
        <v>0</v>
      </c>
      <c r="AT98" s="101">
        <f t="shared" si="19"/>
        <v>0</v>
      </c>
      <c r="AU98" s="101">
        <f t="shared" si="19"/>
        <v>0</v>
      </c>
      <c r="AV98" s="102">
        <f t="shared" si="19"/>
        <v>0</v>
      </c>
      <c r="AW98" s="7">
        <f t="shared" si="19"/>
        <v>0</v>
      </c>
    </row>
    <row r="99" spans="1:49" ht="18" customHeight="1" x14ac:dyDescent="0.25">
      <c r="A99" s="47"/>
      <c r="B99" s="103"/>
      <c r="C99" s="25"/>
      <c r="D99" s="25"/>
      <c r="E99" s="25"/>
      <c r="F99" s="25"/>
      <c r="G99" s="25"/>
      <c r="H99" s="25"/>
      <c r="I99" s="25"/>
      <c r="J99" s="103"/>
      <c r="K99" s="103"/>
      <c r="L99" s="25"/>
      <c r="M99" s="25"/>
      <c r="N99" s="25"/>
      <c r="O99" s="25"/>
      <c r="P99" s="25"/>
      <c r="Q99" s="25"/>
      <c r="R99" s="25"/>
      <c r="S99" s="103"/>
      <c r="T99" s="103"/>
      <c r="U99" s="25"/>
      <c r="V99" s="25"/>
      <c r="W99" s="25"/>
      <c r="X99" s="25"/>
      <c r="Y99" s="25"/>
      <c r="Z99" s="25"/>
      <c r="AA99" s="25"/>
      <c r="AB99" s="25"/>
    </row>
    <row r="100" spans="1:49" ht="18" customHeight="1" thickBot="1" x14ac:dyDescent="0.3">
      <c r="A100" s="47"/>
      <c r="B100" s="161" t="s">
        <v>46</v>
      </c>
      <c r="C100" s="161"/>
      <c r="D100" s="161"/>
      <c r="E100" s="161"/>
      <c r="F100" s="161"/>
      <c r="G100" s="161"/>
      <c r="H100" s="161"/>
      <c r="I100" s="161"/>
      <c r="J100" s="103"/>
      <c r="K100" s="103">
        <v>11</v>
      </c>
      <c r="L100" s="25"/>
      <c r="M100" s="25"/>
      <c r="N100" s="25"/>
      <c r="O100" s="25"/>
      <c r="P100" s="25"/>
      <c r="Q100" s="25"/>
      <c r="R100" s="25"/>
      <c r="S100" s="103"/>
      <c r="T100" s="103"/>
      <c r="U100" s="25"/>
      <c r="V100" s="25"/>
      <c r="W100" s="25"/>
      <c r="X100" s="25"/>
      <c r="Y100" s="25"/>
      <c r="Z100" s="25"/>
      <c r="AA100" s="25"/>
      <c r="AB100" s="25"/>
    </row>
    <row r="101" spans="1:49" ht="18" customHeight="1" thickBot="1" x14ac:dyDescent="0.3">
      <c r="A101" s="47"/>
      <c r="B101" s="36" t="s">
        <v>23</v>
      </c>
      <c r="C101" s="121" t="s">
        <v>24</v>
      </c>
      <c r="D101" s="38" t="s">
        <v>25</v>
      </c>
      <c r="E101" s="39" t="s">
        <v>26</v>
      </c>
      <c r="F101" s="39" t="s">
        <v>27</v>
      </c>
      <c r="G101" s="39" t="s">
        <v>28</v>
      </c>
      <c r="H101" s="39" t="s">
        <v>29</v>
      </c>
      <c r="I101" s="40" t="s">
        <v>30</v>
      </c>
      <c r="J101" s="41" t="s">
        <v>24</v>
      </c>
      <c r="K101" s="42" t="s">
        <v>25</v>
      </c>
      <c r="L101" s="39" t="s">
        <v>26</v>
      </c>
      <c r="M101" s="39" t="s">
        <v>27</v>
      </c>
      <c r="N101" s="39" t="s">
        <v>28</v>
      </c>
      <c r="O101" s="39" t="s">
        <v>29</v>
      </c>
      <c r="P101" s="40" t="s">
        <v>30</v>
      </c>
      <c r="Q101" s="106" t="s">
        <v>24</v>
      </c>
      <c r="R101" s="38" t="s">
        <v>25</v>
      </c>
      <c r="S101" s="39" t="s">
        <v>26</v>
      </c>
      <c r="T101" s="39" t="s">
        <v>27</v>
      </c>
      <c r="U101" s="39" t="s">
        <v>28</v>
      </c>
      <c r="V101" s="39" t="s">
        <v>29</v>
      </c>
      <c r="W101" s="40" t="s">
        <v>30</v>
      </c>
      <c r="X101" s="41" t="s">
        <v>24</v>
      </c>
      <c r="Y101" s="42" t="s">
        <v>25</v>
      </c>
      <c r="Z101" s="39" t="s">
        <v>26</v>
      </c>
      <c r="AA101" s="39" t="s">
        <v>27</v>
      </c>
      <c r="AB101" s="39" t="s">
        <v>28</v>
      </c>
      <c r="AC101" s="39" t="s">
        <v>29</v>
      </c>
      <c r="AD101" s="40" t="s">
        <v>30</v>
      </c>
      <c r="AE101" s="106" t="s">
        <v>24</v>
      </c>
      <c r="AF101" s="38" t="s">
        <v>25</v>
      </c>
      <c r="AG101" s="39" t="s">
        <v>26</v>
      </c>
      <c r="AH101" s="39" t="s">
        <v>27</v>
      </c>
      <c r="AI101" s="39" t="s">
        <v>28</v>
      </c>
      <c r="AJ101" s="39" t="s">
        <v>29</v>
      </c>
      <c r="AK101" s="40" t="s">
        <v>30</v>
      </c>
      <c r="AL101" s="41" t="s">
        <v>24</v>
      </c>
      <c r="AM101" s="42" t="s">
        <v>25</v>
      </c>
      <c r="AN101" s="39" t="s">
        <v>26</v>
      </c>
      <c r="AO101" s="39" t="s">
        <v>27</v>
      </c>
      <c r="AP101" s="39" t="s">
        <v>28</v>
      </c>
      <c r="AQ101" s="39" t="s">
        <v>29</v>
      </c>
      <c r="AR101" s="41" t="s">
        <v>30</v>
      </c>
      <c r="AS101" s="45" t="str">
        <f>+AS93</f>
        <v>F26</v>
      </c>
      <c r="AT101" s="45" t="str">
        <f>+AT93</f>
        <v>F25</v>
      </c>
      <c r="AU101" s="45" t="str">
        <f>+AU93</f>
        <v>DFT</v>
      </c>
      <c r="AV101" s="46" t="s">
        <v>34</v>
      </c>
      <c r="AW101" s="7" t="s">
        <v>35</v>
      </c>
    </row>
    <row r="102" spans="1:49" ht="18" customHeight="1" thickBot="1" x14ac:dyDescent="0.3">
      <c r="A102" s="47"/>
      <c r="B102" s="48"/>
      <c r="C102" s="122">
        <f>IF($L$6=1,1,0)</f>
        <v>1</v>
      </c>
      <c r="D102" s="50">
        <f>IF($M$6=1,1, IF(C102&gt;0,C102+1, 0))</f>
        <v>2</v>
      </c>
      <c r="E102" s="51">
        <f>IF($N$6=1,1, IF(D102&gt;0,D102+1, 0))</f>
        <v>3</v>
      </c>
      <c r="F102" s="51">
        <f>IF($O$6=1,1, IF(E102&gt;0,E102+1, 0))</f>
        <v>4</v>
      </c>
      <c r="G102" s="51">
        <f>IF($P$6=1,1, IF(F102&gt;0,F102+1, 0))</f>
        <v>5</v>
      </c>
      <c r="H102" s="52">
        <f>IF($Q$6=1,1, IF(G102&gt;0,G102+1, 0))</f>
        <v>6</v>
      </c>
      <c r="I102" s="53">
        <f>IF($R$6=1,1, IF(H102&gt;0,H102+1, 0))</f>
        <v>7</v>
      </c>
      <c r="J102" s="54">
        <f t="shared" ref="J102:AR102" si="20">IF(AND(I102&gt;0,I102&lt;30),I102+1,0)</f>
        <v>8</v>
      </c>
      <c r="K102" s="55">
        <f t="shared" si="20"/>
        <v>9</v>
      </c>
      <c r="L102" s="51">
        <f t="shared" si="20"/>
        <v>10</v>
      </c>
      <c r="M102" s="51">
        <f t="shared" si="20"/>
        <v>11</v>
      </c>
      <c r="N102" s="51">
        <f t="shared" si="20"/>
        <v>12</v>
      </c>
      <c r="O102" s="52">
        <f t="shared" si="20"/>
        <v>13</v>
      </c>
      <c r="P102" s="53">
        <f t="shared" si="20"/>
        <v>14</v>
      </c>
      <c r="Q102" s="107">
        <f t="shared" si="20"/>
        <v>15</v>
      </c>
      <c r="R102" s="50">
        <f t="shared" si="20"/>
        <v>16</v>
      </c>
      <c r="S102" s="51">
        <f t="shared" si="20"/>
        <v>17</v>
      </c>
      <c r="T102" s="51">
        <f t="shared" si="20"/>
        <v>18</v>
      </c>
      <c r="U102" s="51">
        <f t="shared" si="20"/>
        <v>19</v>
      </c>
      <c r="V102" s="52">
        <f t="shared" si="20"/>
        <v>20</v>
      </c>
      <c r="W102" s="53">
        <f t="shared" si="20"/>
        <v>21</v>
      </c>
      <c r="X102" s="54">
        <f t="shared" si="20"/>
        <v>22</v>
      </c>
      <c r="Y102" s="55">
        <f>IF(AND(X102&gt;0,X102&lt;30),X102+1,0)</f>
        <v>23</v>
      </c>
      <c r="Z102" s="51">
        <f t="shared" si="20"/>
        <v>24</v>
      </c>
      <c r="AA102" s="51">
        <f t="shared" si="20"/>
        <v>25</v>
      </c>
      <c r="AB102" s="51">
        <f t="shared" si="20"/>
        <v>26</v>
      </c>
      <c r="AC102" s="52">
        <f t="shared" si="20"/>
        <v>27</v>
      </c>
      <c r="AD102" s="53">
        <f t="shared" si="20"/>
        <v>28</v>
      </c>
      <c r="AE102" s="107">
        <f t="shared" si="20"/>
        <v>29</v>
      </c>
      <c r="AF102" s="50">
        <f t="shared" si="20"/>
        <v>30</v>
      </c>
      <c r="AG102" s="51">
        <f t="shared" si="20"/>
        <v>0</v>
      </c>
      <c r="AH102" s="51">
        <f t="shared" si="20"/>
        <v>0</v>
      </c>
      <c r="AI102" s="51">
        <f t="shared" si="20"/>
        <v>0</v>
      </c>
      <c r="AJ102" s="52">
        <f t="shared" si="20"/>
        <v>0</v>
      </c>
      <c r="AK102" s="53">
        <f t="shared" si="20"/>
        <v>0</v>
      </c>
      <c r="AL102" s="56">
        <f t="shared" si="20"/>
        <v>0</v>
      </c>
      <c r="AM102" s="55">
        <f t="shared" si="20"/>
        <v>0</v>
      </c>
      <c r="AN102" s="51">
        <f t="shared" si="20"/>
        <v>0</v>
      </c>
      <c r="AO102" s="51">
        <f t="shared" si="20"/>
        <v>0</v>
      </c>
      <c r="AP102" s="51">
        <f t="shared" si="20"/>
        <v>0</v>
      </c>
      <c r="AQ102" s="52">
        <f t="shared" si="20"/>
        <v>0</v>
      </c>
      <c r="AR102" s="56">
        <f t="shared" si="20"/>
        <v>0</v>
      </c>
    </row>
    <row r="103" spans="1:49" ht="18" customHeight="1" x14ac:dyDescent="0.25">
      <c r="A103" s="47"/>
      <c r="B103" s="109" t="str">
        <f>+$B$23</f>
        <v>Pedro</v>
      </c>
      <c r="C103" s="123"/>
      <c r="D103" s="63"/>
      <c r="E103" s="60"/>
      <c r="F103" s="60"/>
      <c r="G103" s="60"/>
      <c r="H103" s="64"/>
      <c r="I103" s="65"/>
      <c r="J103" s="62"/>
      <c r="K103" s="66"/>
      <c r="L103" s="60"/>
      <c r="M103" s="60"/>
      <c r="N103" s="60"/>
      <c r="O103" s="64"/>
      <c r="P103" s="65"/>
      <c r="Q103" s="67"/>
      <c r="R103" s="63"/>
      <c r="S103" s="60"/>
      <c r="T103" s="60"/>
      <c r="U103" s="60"/>
      <c r="V103" s="64"/>
      <c r="W103" s="65"/>
      <c r="X103" s="62"/>
      <c r="Y103" s="66"/>
      <c r="Z103" s="60"/>
      <c r="AA103" s="60"/>
      <c r="AB103" s="60"/>
      <c r="AC103" s="64"/>
      <c r="AD103" s="65"/>
      <c r="AE103" s="67"/>
      <c r="AF103" s="59"/>
      <c r="AG103" s="60"/>
      <c r="AH103" s="60"/>
      <c r="AI103" s="60"/>
      <c r="AJ103" s="64"/>
      <c r="AK103" s="65"/>
      <c r="AL103" s="62"/>
      <c r="AM103" s="66"/>
      <c r="AN103" s="60"/>
      <c r="AO103" s="60"/>
      <c r="AP103" s="60"/>
      <c r="AQ103" s="64"/>
      <c r="AR103" s="62"/>
      <c r="AS103" s="68">
        <f t="shared" ref="AS103:AW106" si="21">COUNTIF($C103:$AR103,AS$21)</f>
        <v>0</v>
      </c>
      <c r="AT103" s="69">
        <f t="shared" si="21"/>
        <v>0</v>
      </c>
      <c r="AU103" s="69">
        <f t="shared" si="21"/>
        <v>0</v>
      </c>
      <c r="AV103" s="70">
        <f t="shared" si="21"/>
        <v>0</v>
      </c>
      <c r="AW103" s="7">
        <f>COUNTIF($C103:$AR103,AW$21)</f>
        <v>0</v>
      </c>
    </row>
    <row r="104" spans="1:49" ht="18" customHeight="1" x14ac:dyDescent="0.25">
      <c r="A104" s="47"/>
      <c r="B104" s="57" t="str">
        <f>+$B$24</f>
        <v>Miguel</v>
      </c>
      <c r="C104" s="124"/>
      <c r="D104" s="59"/>
      <c r="E104" s="72"/>
      <c r="F104" s="72"/>
      <c r="G104" s="72"/>
      <c r="H104" s="75"/>
      <c r="I104" s="76"/>
      <c r="J104" s="74"/>
      <c r="K104" s="77"/>
      <c r="L104" s="72"/>
      <c r="M104" s="72"/>
      <c r="N104" s="72"/>
      <c r="O104" s="75"/>
      <c r="P104" s="76"/>
      <c r="Q104" s="78"/>
      <c r="R104" s="59"/>
      <c r="S104" s="72"/>
      <c r="T104" s="72"/>
      <c r="U104" s="72"/>
      <c r="V104" s="75"/>
      <c r="W104" s="76"/>
      <c r="X104" s="74"/>
      <c r="Y104" s="77"/>
      <c r="Z104" s="72"/>
      <c r="AA104" s="72"/>
      <c r="AB104" s="72"/>
      <c r="AC104" s="75"/>
      <c r="AD104" s="76"/>
      <c r="AE104" s="78"/>
      <c r="AF104" s="59"/>
      <c r="AG104" s="72"/>
      <c r="AH104" s="72"/>
      <c r="AI104" s="72"/>
      <c r="AJ104" s="75"/>
      <c r="AK104" s="76"/>
      <c r="AL104" s="74"/>
      <c r="AM104" s="77"/>
      <c r="AN104" s="72"/>
      <c r="AO104" s="72"/>
      <c r="AP104" s="72"/>
      <c r="AQ104" s="75"/>
      <c r="AR104" s="74"/>
      <c r="AS104" s="79">
        <f t="shared" si="21"/>
        <v>0</v>
      </c>
      <c r="AT104" s="80">
        <f t="shared" si="21"/>
        <v>0</v>
      </c>
      <c r="AU104" s="80">
        <f t="shared" si="21"/>
        <v>0</v>
      </c>
      <c r="AV104" s="81">
        <f t="shared" si="21"/>
        <v>0</v>
      </c>
      <c r="AW104" s="7">
        <f>COUNTIF($C104:$AR104,AW$21)</f>
        <v>0</v>
      </c>
    </row>
    <row r="105" spans="1:49" ht="18" customHeight="1" x14ac:dyDescent="0.25">
      <c r="A105" s="47"/>
      <c r="B105" s="57" t="str">
        <f>+$B$25</f>
        <v>Gichelson</v>
      </c>
      <c r="C105" s="124"/>
      <c r="D105" s="59"/>
      <c r="E105" s="72"/>
      <c r="F105" s="72"/>
      <c r="G105" s="72"/>
      <c r="H105" s="75"/>
      <c r="I105" s="76"/>
      <c r="J105" s="74"/>
      <c r="K105" s="77"/>
      <c r="L105" s="72"/>
      <c r="M105" s="72"/>
      <c r="N105" s="72"/>
      <c r="O105" s="76"/>
      <c r="P105" s="76"/>
      <c r="Q105" s="78"/>
      <c r="R105" s="59"/>
      <c r="S105" s="72"/>
      <c r="T105" s="72"/>
      <c r="U105" s="88"/>
      <c r="V105" s="76"/>
      <c r="W105" s="76"/>
      <c r="X105" s="74"/>
      <c r="Y105" s="76"/>
      <c r="Z105" s="76"/>
      <c r="AA105" s="76"/>
      <c r="AB105" s="76"/>
      <c r="AC105" s="76"/>
      <c r="AD105" s="76"/>
      <c r="AE105" s="78"/>
      <c r="AF105" s="59"/>
      <c r="AG105" s="72"/>
      <c r="AH105" s="72"/>
      <c r="AI105" s="72"/>
      <c r="AJ105" s="72"/>
      <c r="AK105" s="76"/>
      <c r="AL105" s="74"/>
      <c r="AM105" s="77"/>
      <c r="AN105" s="72"/>
      <c r="AO105" s="72"/>
      <c r="AP105" s="72"/>
      <c r="AQ105" s="75"/>
      <c r="AR105" s="74"/>
      <c r="AS105" s="79">
        <f t="shared" si="21"/>
        <v>0</v>
      </c>
      <c r="AT105" s="80">
        <f t="shared" si="21"/>
        <v>0</v>
      </c>
      <c r="AU105" s="80">
        <f t="shared" si="21"/>
        <v>0</v>
      </c>
      <c r="AV105" s="81">
        <f t="shared" si="21"/>
        <v>0</v>
      </c>
      <c r="AW105" s="7">
        <f t="shared" si="21"/>
        <v>0</v>
      </c>
    </row>
    <row r="106" spans="1:49" ht="18" customHeight="1" thickBot="1" x14ac:dyDescent="0.3">
      <c r="A106" s="47"/>
      <c r="B106" s="89"/>
      <c r="C106" s="90"/>
      <c r="D106" s="91"/>
      <c r="E106" s="92"/>
      <c r="F106" s="92"/>
      <c r="G106" s="92"/>
      <c r="H106" s="92"/>
      <c r="I106" s="92"/>
      <c r="J106" s="93"/>
      <c r="K106" s="91"/>
      <c r="L106" s="92"/>
      <c r="M106" s="92"/>
      <c r="N106" s="92"/>
      <c r="O106" s="92"/>
      <c r="P106" s="94"/>
      <c r="Q106" s="93"/>
      <c r="R106" s="91"/>
      <c r="S106" s="95"/>
      <c r="T106" s="95"/>
      <c r="U106" s="95"/>
      <c r="V106" s="92"/>
      <c r="W106" s="94"/>
      <c r="X106" s="93"/>
      <c r="Y106" s="96"/>
      <c r="Z106" s="95"/>
      <c r="AA106" s="95"/>
      <c r="AB106" s="95"/>
      <c r="AC106" s="92"/>
      <c r="AD106" s="94"/>
      <c r="AE106" s="93"/>
      <c r="AF106" s="91"/>
      <c r="AG106" s="95"/>
      <c r="AH106" s="95"/>
      <c r="AI106" s="95"/>
      <c r="AJ106" s="97"/>
      <c r="AK106" s="94"/>
      <c r="AL106" s="93"/>
      <c r="AM106" s="98"/>
      <c r="AN106" s="95"/>
      <c r="AO106" s="95"/>
      <c r="AP106" s="95"/>
      <c r="AQ106" s="97"/>
      <c r="AR106" s="99"/>
      <c r="AS106" s="100">
        <f t="shared" si="21"/>
        <v>0</v>
      </c>
      <c r="AT106" s="101">
        <f t="shared" si="21"/>
        <v>0</v>
      </c>
      <c r="AU106" s="101">
        <f t="shared" si="21"/>
        <v>0</v>
      </c>
      <c r="AV106" s="102">
        <f t="shared" si="21"/>
        <v>0</v>
      </c>
      <c r="AW106" s="7">
        <f t="shared" si="21"/>
        <v>0</v>
      </c>
    </row>
    <row r="107" spans="1:49" ht="18" customHeight="1" x14ac:dyDescent="0.25">
      <c r="A107" s="47"/>
      <c r="B107" s="103"/>
      <c r="C107" s="25"/>
      <c r="D107" s="25"/>
      <c r="E107" s="25"/>
      <c r="F107" s="25"/>
      <c r="G107" s="25"/>
      <c r="H107" s="25"/>
      <c r="I107" s="25"/>
      <c r="J107" s="103"/>
      <c r="K107" s="103"/>
      <c r="L107" s="25"/>
      <c r="M107" s="25"/>
      <c r="N107" s="25"/>
      <c r="O107" s="25"/>
      <c r="P107" s="25"/>
      <c r="Q107" s="25"/>
      <c r="R107" s="25"/>
      <c r="S107" s="103"/>
      <c r="T107" s="103"/>
      <c r="U107" s="25"/>
      <c r="V107" s="25"/>
      <c r="W107" s="25"/>
      <c r="X107" s="25"/>
      <c r="Y107" s="25"/>
      <c r="Z107" s="25"/>
      <c r="AA107" s="25"/>
      <c r="AB107" s="25"/>
    </row>
    <row r="108" spans="1:49" ht="18" customHeight="1" thickBot="1" x14ac:dyDescent="0.3">
      <c r="A108" s="47"/>
      <c r="B108" s="161" t="s">
        <v>47</v>
      </c>
      <c r="C108" s="161"/>
      <c r="D108" s="161"/>
      <c r="E108" s="161"/>
      <c r="F108" s="161"/>
      <c r="G108" s="161"/>
      <c r="H108" s="161"/>
      <c r="I108" s="161"/>
      <c r="J108" s="103"/>
      <c r="K108" s="103">
        <v>12</v>
      </c>
      <c r="L108" s="25"/>
      <c r="M108" s="25"/>
      <c r="N108" s="25"/>
      <c r="O108" s="25"/>
      <c r="P108" s="25"/>
      <c r="Q108" s="25"/>
      <c r="R108" s="25"/>
      <c r="S108" s="103"/>
      <c r="T108" s="103"/>
      <c r="U108" s="25"/>
      <c r="V108" s="25"/>
      <c r="W108" s="25"/>
      <c r="X108" s="25"/>
      <c r="Y108" s="25"/>
      <c r="Z108" s="25"/>
      <c r="AA108" s="25"/>
      <c r="AB108" s="25"/>
    </row>
    <row r="109" spans="1:49" ht="18" customHeight="1" thickBot="1" x14ac:dyDescent="0.3">
      <c r="A109" s="47"/>
      <c r="B109" s="36" t="s">
        <v>23</v>
      </c>
      <c r="C109" s="121" t="s">
        <v>24</v>
      </c>
      <c r="D109" s="38" t="s">
        <v>25</v>
      </c>
      <c r="E109" s="39" t="s">
        <v>26</v>
      </c>
      <c r="F109" s="39" t="s">
        <v>27</v>
      </c>
      <c r="G109" s="39" t="s">
        <v>28</v>
      </c>
      <c r="H109" s="39" t="s">
        <v>29</v>
      </c>
      <c r="I109" s="40" t="s">
        <v>30</v>
      </c>
      <c r="J109" s="41" t="s">
        <v>24</v>
      </c>
      <c r="K109" s="42" t="s">
        <v>25</v>
      </c>
      <c r="L109" s="39" t="s">
        <v>26</v>
      </c>
      <c r="M109" s="39" t="s">
        <v>27</v>
      </c>
      <c r="N109" s="39" t="s">
        <v>28</v>
      </c>
      <c r="O109" s="39" t="s">
        <v>29</v>
      </c>
      <c r="P109" s="40" t="s">
        <v>30</v>
      </c>
      <c r="Q109" s="106" t="s">
        <v>24</v>
      </c>
      <c r="R109" s="38" t="s">
        <v>25</v>
      </c>
      <c r="S109" s="39" t="s">
        <v>26</v>
      </c>
      <c r="T109" s="39" t="s">
        <v>27</v>
      </c>
      <c r="U109" s="39" t="s">
        <v>28</v>
      </c>
      <c r="V109" s="39" t="s">
        <v>29</v>
      </c>
      <c r="W109" s="40" t="s">
        <v>30</v>
      </c>
      <c r="X109" s="41" t="s">
        <v>24</v>
      </c>
      <c r="Y109" s="42" t="s">
        <v>25</v>
      </c>
      <c r="Z109" s="39" t="s">
        <v>26</v>
      </c>
      <c r="AA109" s="39" t="s">
        <v>27</v>
      </c>
      <c r="AB109" s="39" t="s">
        <v>28</v>
      </c>
      <c r="AC109" s="39" t="s">
        <v>29</v>
      </c>
      <c r="AD109" s="40" t="s">
        <v>30</v>
      </c>
      <c r="AE109" s="106" t="s">
        <v>24</v>
      </c>
      <c r="AF109" s="38" t="s">
        <v>25</v>
      </c>
      <c r="AG109" s="39" t="s">
        <v>26</v>
      </c>
      <c r="AH109" s="39" t="s">
        <v>27</v>
      </c>
      <c r="AI109" s="39" t="s">
        <v>28</v>
      </c>
      <c r="AJ109" s="39" t="s">
        <v>29</v>
      </c>
      <c r="AK109" s="40" t="s">
        <v>30</v>
      </c>
      <c r="AL109" s="41" t="s">
        <v>24</v>
      </c>
      <c r="AM109" s="42" t="s">
        <v>25</v>
      </c>
      <c r="AN109" s="39" t="s">
        <v>26</v>
      </c>
      <c r="AO109" s="39" t="s">
        <v>27</v>
      </c>
      <c r="AP109" s="39" t="s">
        <v>28</v>
      </c>
      <c r="AQ109" s="39" t="s">
        <v>29</v>
      </c>
      <c r="AR109" s="41" t="s">
        <v>30</v>
      </c>
      <c r="AS109" s="45" t="str">
        <f>+AS101</f>
        <v>F26</v>
      </c>
      <c r="AT109" s="45" t="str">
        <f>+AT101</f>
        <v>F25</v>
      </c>
      <c r="AU109" s="45" t="str">
        <f>+AU101</f>
        <v>DFT</v>
      </c>
      <c r="AV109" s="46" t="s">
        <v>34</v>
      </c>
      <c r="AW109" s="7" t="s">
        <v>35</v>
      </c>
    </row>
    <row r="110" spans="1:49" ht="18" customHeight="1" thickBot="1" x14ac:dyDescent="0.3">
      <c r="A110" s="47"/>
      <c r="B110" s="48"/>
      <c r="C110" s="122">
        <f>IF($U$6=1,1,0)</f>
        <v>0</v>
      </c>
      <c r="D110" s="50">
        <f>IF($V$6=1,1, IF(C110&gt;0,C110+1, 0))</f>
        <v>0</v>
      </c>
      <c r="E110" s="51">
        <f>IF($W$6=1,1, IF(D110&gt;0,D110+1, 0))</f>
        <v>1</v>
      </c>
      <c r="F110" s="51">
        <f>IF($X$6=1,1, IF(E110&gt;0,E110+1, 0))</f>
        <v>2</v>
      </c>
      <c r="G110" s="51">
        <f>IF($Y$6=1,1, IF(F110&gt;0,F110+1, 0))</f>
        <v>3</v>
      </c>
      <c r="H110" s="134">
        <f>IF($Z$6=1,1, IF(G110&gt;0,G110+1, 0))</f>
        <v>4</v>
      </c>
      <c r="I110" s="53">
        <f>IF($AA$6=1,1, IF(H110&gt;0,H110+1, 0))</f>
        <v>5</v>
      </c>
      <c r="J110" s="54">
        <f t="shared" ref="J110:AR110" si="22">IF(AND(I110&gt;0,I110&lt;31),I110+1,0)</f>
        <v>6</v>
      </c>
      <c r="K110" s="55">
        <f t="shared" si="22"/>
        <v>7</v>
      </c>
      <c r="L110" s="51">
        <f t="shared" si="22"/>
        <v>8</v>
      </c>
      <c r="M110" s="51">
        <f t="shared" si="22"/>
        <v>9</v>
      </c>
      <c r="N110" s="51">
        <f t="shared" si="22"/>
        <v>10</v>
      </c>
      <c r="O110" s="134">
        <f t="shared" si="22"/>
        <v>11</v>
      </c>
      <c r="P110" s="53">
        <f t="shared" si="22"/>
        <v>12</v>
      </c>
      <c r="Q110" s="107">
        <f t="shared" si="22"/>
        <v>13</v>
      </c>
      <c r="R110" s="50">
        <f t="shared" si="22"/>
        <v>14</v>
      </c>
      <c r="S110" s="51">
        <f t="shared" si="22"/>
        <v>15</v>
      </c>
      <c r="T110" s="51">
        <f t="shared" si="22"/>
        <v>16</v>
      </c>
      <c r="U110" s="51">
        <f t="shared" si="22"/>
        <v>17</v>
      </c>
      <c r="V110" s="134">
        <f t="shared" si="22"/>
        <v>18</v>
      </c>
      <c r="W110" s="53">
        <f t="shared" si="22"/>
        <v>19</v>
      </c>
      <c r="X110" s="54">
        <f t="shared" si="22"/>
        <v>20</v>
      </c>
      <c r="Y110" s="55">
        <f>IF(AND(X110&gt;0,X110&lt;31),X110+1,0)</f>
        <v>21</v>
      </c>
      <c r="Z110" s="51">
        <f t="shared" si="22"/>
        <v>22</v>
      </c>
      <c r="AA110" s="52">
        <f t="shared" si="22"/>
        <v>23</v>
      </c>
      <c r="AB110" s="51">
        <f t="shared" si="22"/>
        <v>24</v>
      </c>
      <c r="AC110" s="134">
        <f t="shared" si="22"/>
        <v>25</v>
      </c>
      <c r="AD110" s="53">
        <f t="shared" si="22"/>
        <v>26</v>
      </c>
      <c r="AE110" s="107">
        <f t="shared" si="22"/>
        <v>27</v>
      </c>
      <c r="AF110" s="50">
        <f t="shared" si="22"/>
        <v>28</v>
      </c>
      <c r="AG110" s="51">
        <f t="shared" si="22"/>
        <v>29</v>
      </c>
      <c r="AH110" s="51">
        <f t="shared" si="22"/>
        <v>30</v>
      </c>
      <c r="AI110" s="51">
        <f t="shared" si="22"/>
        <v>31</v>
      </c>
      <c r="AJ110" s="134">
        <f t="shared" si="22"/>
        <v>0</v>
      </c>
      <c r="AK110" s="53">
        <f t="shared" si="22"/>
        <v>0</v>
      </c>
      <c r="AL110" s="54">
        <f t="shared" si="22"/>
        <v>0</v>
      </c>
      <c r="AM110" s="55">
        <f t="shared" si="22"/>
        <v>0</v>
      </c>
      <c r="AN110" s="51">
        <f t="shared" si="22"/>
        <v>0</v>
      </c>
      <c r="AO110" s="51">
        <f t="shared" si="22"/>
        <v>0</v>
      </c>
      <c r="AP110" s="51">
        <f t="shared" si="22"/>
        <v>0</v>
      </c>
      <c r="AQ110" s="52">
        <f t="shared" si="22"/>
        <v>0</v>
      </c>
      <c r="AR110" s="56">
        <f t="shared" si="22"/>
        <v>0</v>
      </c>
    </row>
    <row r="111" spans="1:49" ht="18" customHeight="1" x14ac:dyDescent="0.25">
      <c r="A111" s="47"/>
      <c r="B111" s="109" t="str">
        <f>+$B$23</f>
        <v>Pedro</v>
      </c>
      <c r="C111" s="123"/>
      <c r="D111" s="114"/>
      <c r="E111" s="73"/>
      <c r="F111" s="73"/>
      <c r="G111" s="73"/>
      <c r="H111" s="85"/>
      <c r="I111" s="86"/>
      <c r="J111" s="87"/>
      <c r="K111" s="88"/>
      <c r="L111" s="73"/>
      <c r="M111" s="73"/>
      <c r="N111" s="73"/>
      <c r="O111" s="85"/>
      <c r="P111" s="86"/>
      <c r="Q111" s="113"/>
      <c r="R111" s="114"/>
      <c r="S111" s="73"/>
      <c r="T111" s="73"/>
      <c r="U111" s="73"/>
      <c r="V111" s="85"/>
      <c r="W111" s="86"/>
      <c r="X111" s="87"/>
      <c r="Y111" s="88"/>
      <c r="Z111" s="73"/>
      <c r="AA111" s="73"/>
      <c r="AB111" s="73"/>
      <c r="AC111" s="73"/>
      <c r="AD111" s="76"/>
      <c r="AE111" s="74"/>
      <c r="AF111" s="88"/>
      <c r="AG111" s="76"/>
      <c r="AH111" s="76"/>
      <c r="AI111" s="76"/>
      <c r="AJ111" s="76"/>
      <c r="AK111" s="76"/>
      <c r="AL111" s="74"/>
      <c r="AM111" s="66"/>
      <c r="AN111" s="60"/>
      <c r="AO111" s="60"/>
      <c r="AP111" s="60"/>
      <c r="AQ111" s="64"/>
      <c r="AR111" s="62"/>
      <c r="AS111" s="68">
        <f t="shared" ref="AS111:AW114" si="23">COUNTIF($C111:$AR111,AS$21)</f>
        <v>0</v>
      </c>
      <c r="AT111" s="69">
        <f t="shared" si="23"/>
        <v>0</v>
      </c>
      <c r="AU111" s="69">
        <f t="shared" si="23"/>
        <v>0</v>
      </c>
      <c r="AV111" s="70">
        <f t="shared" si="23"/>
        <v>0</v>
      </c>
      <c r="AW111" s="7">
        <f>COUNTIF($C111:$AR111,AW$21)</f>
        <v>0</v>
      </c>
    </row>
    <row r="112" spans="1:49" ht="18" customHeight="1" x14ac:dyDescent="0.25">
      <c r="A112" s="47"/>
      <c r="B112" s="57" t="str">
        <f>+$B$24</f>
        <v>Miguel</v>
      </c>
      <c r="C112" s="124"/>
      <c r="D112" s="114"/>
      <c r="E112" s="73"/>
      <c r="F112" s="73"/>
      <c r="G112" s="73"/>
      <c r="H112" s="85"/>
      <c r="I112" s="86"/>
      <c r="J112" s="87"/>
      <c r="K112" s="88"/>
      <c r="L112" s="73"/>
      <c r="M112" s="73"/>
      <c r="N112" s="73"/>
      <c r="O112" s="85"/>
      <c r="P112" s="86"/>
      <c r="Q112" s="113"/>
      <c r="R112" s="114"/>
      <c r="S112" s="73"/>
      <c r="T112" s="73"/>
      <c r="U112" s="73"/>
      <c r="V112" s="85"/>
      <c r="W112" s="86"/>
      <c r="X112" s="87"/>
      <c r="Y112" s="88"/>
      <c r="Z112" s="73"/>
      <c r="AA112" s="73"/>
      <c r="AB112" s="73"/>
      <c r="AC112" s="73"/>
      <c r="AD112" s="76"/>
      <c r="AE112" s="74"/>
      <c r="AF112" s="72"/>
      <c r="AG112" s="76"/>
      <c r="AH112" s="76"/>
      <c r="AI112" s="76"/>
      <c r="AJ112" s="76"/>
      <c r="AK112" s="76"/>
      <c r="AL112" s="74"/>
      <c r="AM112" s="72"/>
      <c r="AN112" s="72"/>
      <c r="AO112" s="72"/>
      <c r="AP112" s="72"/>
      <c r="AQ112" s="75"/>
      <c r="AR112" s="74"/>
      <c r="AS112" s="79">
        <f t="shared" si="23"/>
        <v>0</v>
      </c>
      <c r="AT112" s="80">
        <f t="shared" si="23"/>
        <v>0</v>
      </c>
      <c r="AU112" s="80">
        <f t="shared" si="23"/>
        <v>0</v>
      </c>
      <c r="AV112" s="81">
        <f t="shared" si="23"/>
        <v>0</v>
      </c>
      <c r="AW112" s="7">
        <f>COUNTIF($C112:$AR112,AW$21)</f>
        <v>0</v>
      </c>
    </row>
    <row r="113" spans="1:49" ht="18" customHeight="1" x14ac:dyDescent="0.25">
      <c r="A113" s="47"/>
      <c r="B113" s="57" t="str">
        <f>+$B$25</f>
        <v>Gichelson</v>
      </c>
      <c r="C113" s="124"/>
      <c r="D113" s="114"/>
      <c r="E113" s="73"/>
      <c r="F113" s="73"/>
      <c r="G113" s="73"/>
      <c r="H113" s="85"/>
      <c r="I113" s="86"/>
      <c r="J113" s="87"/>
      <c r="K113" s="88"/>
      <c r="L113" s="73"/>
      <c r="M113" s="73"/>
      <c r="N113" s="73"/>
      <c r="O113" s="85"/>
      <c r="P113" s="86"/>
      <c r="Q113" s="113"/>
      <c r="R113" s="114"/>
      <c r="S113" s="73"/>
      <c r="T113" s="73"/>
      <c r="U113" s="73"/>
      <c r="V113" s="73"/>
      <c r="W113" s="86"/>
      <c r="X113" s="87"/>
      <c r="Y113" s="88"/>
      <c r="Z113" s="73"/>
      <c r="AA113" s="73"/>
      <c r="AB113" s="73"/>
      <c r="AC113" s="73"/>
      <c r="AD113" s="76"/>
      <c r="AE113" s="74"/>
      <c r="AF113" s="72"/>
      <c r="AG113" s="76"/>
      <c r="AH113" s="76"/>
      <c r="AI113" s="76"/>
      <c r="AJ113" s="76"/>
      <c r="AK113" s="76"/>
      <c r="AL113" s="74"/>
      <c r="AM113" s="59"/>
      <c r="AN113" s="72"/>
      <c r="AO113" s="72"/>
      <c r="AP113" s="72"/>
      <c r="AQ113" s="75"/>
      <c r="AR113" s="74"/>
      <c r="AS113" s="79">
        <f t="shared" si="23"/>
        <v>0</v>
      </c>
      <c r="AT113" s="80">
        <f t="shared" si="23"/>
        <v>0</v>
      </c>
      <c r="AU113" s="80">
        <f t="shared" si="23"/>
        <v>0</v>
      </c>
      <c r="AV113" s="81">
        <f t="shared" si="23"/>
        <v>0</v>
      </c>
      <c r="AW113" s="7">
        <f t="shared" si="23"/>
        <v>0</v>
      </c>
    </row>
    <row r="114" spans="1:49" ht="18" customHeight="1" thickBot="1" x14ac:dyDescent="0.3">
      <c r="A114" s="47"/>
      <c r="B114" s="89"/>
      <c r="C114" s="90"/>
      <c r="D114" s="91"/>
      <c r="E114" s="92"/>
      <c r="F114" s="92"/>
      <c r="G114" s="92"/>
      <c r="H114" s="92"/>
      <c r="I114" s="92"/>
      <c r="J114" s="93"/>
      <c r="K114" s="91"/>
      <c r="L114" s="92"/>
      <c r="M114" s="92"/>
      <c r="N114" s="92"/>
      <c r="O114" s="92"/>
      <c r="P114" s="94"/>
      <c r="Q114" s="93"/>
      <c r="R114" s="91"/>
      <c r="S114" s="95"/>
      <c r="T114" s="95"/>
      <c r="U114" s="95"/>
      <c r="V114" s="92"/>
      <c r="W114" s="94"/>
      <c r="X114" s="93"/>
      <c r="Y114" s="96"/>
      <c r="Z114" s="95"/>
      <c r="AA114" s="95"/>
      <c r="AB114" s="95"/>
      <c r="AC114" s="92"/>
      <c r="AD114" s="94"/>
      <c r="AE114" s="93"/>
      <c r="AF114" s="91"/>
      <c r="AG114" s="95"/>
      <c r="AH114" s="95"/>
      <c r="AI114" s="95"/>
      <c r="AJ114" s="97"/>
      <c r="AK114" s="94"/>
      <c r="AL114" s="93"/>
      <c r="AM114" s="98"/>
      <c r="AN114" s="95"/>
      <c r="AO114" s="95"/>
      <c r="AP114" s="95"/>
      <c r="AQ114" s="97"/>
      <c r="AR114" s="99"/>
      <c r="AS114" s="100">
        <f t="shared" si="23"/>
        <v>0</v>
      </c>
      <c r="AT114" s="101">
        <f t="shared" si="23"/>
        <v>0</v>
      </c>
      <c r="AU114" s="101">
        <f t="shared" si="23"/>
        <v>0</v>
      </c>
      <c r="AV114" s="102">
        <f t="shared" si="23"/>
        <v>0</v>
      </c>
      <c r="AW114" s="7">
        <f t="shared" si="23"/>
        <v>0</v>
      </c>
    </row>
    <row r="115" spans="1:49" ht="18" customHeight="1" thickBot="1" x14ac:dyDescent="0.3">
      <c r="A115" s="47"/>
      <c r="B115" s="103"/>
      <c r="C115" s="25"/>
      <c r="D115" s="25"/>
      <c r="E115" s="25"/>
      <c r="F115" s="25"/>
      <c r="G115" s="25"/>
      <c r="H115" s="25"/>
      <c r="I115" s="25"/>
      <c r="J115" s="103"/>
      <c r="K115" s="103"/>
      <c r="L115" s="25"/>
      <c r="M115" s="25"/>
      <c r="N115" s="25"/>
      <c r="O115" s="25"/>
      <c r="P115" s="25"/>
      <c r="Q115" s="25"/>
      <c r="R115" s="25"/>
      <c r="S115" s="103"/>
      <c r="T115" s="103"/>
      <c r="U115" s="25"/>
      <c r="V115" s="25"/>
      <c r="W115" s="25"/>
      <c r="X115" s="25"/>
      <c r="Y115" s="25"/>
      <c r="Z115" s="25"/>
      <c r="AA115" s="25"/>
      <c r="AB115" s="25"/>
    </row>
    <row r="116" spans="1:49" x14ac:dyDescent="0.25">
      <c r="A116" s="164" t="s">
        <v>12</v>
      </c>
      <c r="B116" s="165"/>
      <c r="C116" s="165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7"/>
    </row>
    <row r="117" spans="1:49" x14ac:dyDescent="0.25">
      <c r="A117" s="132"/>
      <c r="C117" s="166">
        <f>DATE(I15,1,1)</f>
        <v>46023</v>
      </c>
      <c r="D117" s="166"/>
      <c r="E117" s="167" t="s">
        <v>48</v>
      </c>
      <c r="F117" s="167"/>
      <c r="G117" s="167"/>
      <c r="H117" s="167"/>
      <c r="I117" s="167"/>
      <c r="J117" s="138"/>
      <c r="K117" s="166">
        <f>DATE($I$15,5,1)</f>
        <v>46143</v>
      </c>
      <c r="L117" s="166"/>
      <c r="M117" s="167" t="s">
        <v>49</v>
      </c>
      <c r="N117" s="167"/>
      <c r="O117" s="167"/>
      <c r="P117" s="167"/>
      <c r="Q117" s="167"/>
      <c r="S117" s="166">
        <f>DATE($I$15,10,5)</f>
        <v>46300</v>
      </c>
      <c r="T117" s="166"/>
      <c r="U117" s="167" t="s">
        <v>50</v>
      </c>
      <c r="V117" s="167"/>
      <c r="W117" s="167"/>
      <c r="X117" s="167"/>
      <c r="Y117" s="167"/>
      <c r="AB117" s="139"/>
    </row>
    <row r="118" spans="1:49" x14ac:dyDescent="0.25">
      <c r="A118" s="132"/>
      <c r="C118" s="166">
        <f>D10</f>
        <v>46070</v>
      </c>
      <c r="D118" s="166"/>
      <c r="E118" s="167" t="s">
        <v>14</v>
      </c>
      <c r="F118" s="167"/>
      <c r="G118" s="167"/>
      <c r="H118" s="167"/>
      <c r="I118" s="167"/>
      <c r="J118" s="138"/>
      <c r="K118" s="166">
        <f>DATE($I$15,6,1)</f>
        <v>46174</v>
      </c>
      <c r="L118" s="166"/>
      <c r="M118" s="167" t="s">
        <v>51</v>
      </c>
      <c r="N118" s="167"/>
      <c r="O118" s="167"/>
      <c r="P118" s="167"/>
      <c r="Q118" s="167"/>
      <c r="S118" s="166">
        <f>DATE($I$15,11,1)</f>
        <v>46327</v>
      </c>
      <c r="T118" s="166"/>
      <c r="U118" s="167" t="s">
        <v>52</v>
      </c>
      <c r="V118" s="167"/>
      <c r="W118" s="167"/>
      <c r="X118" s="167"/>
      <c r="Y118" s="167"/>
      <c r="AB118" s="139"/>
    </row>
    <row r="119" spans="1:49" x14ac:dyDescent="0.25">
      <c r="A119" s="132"/>
      <c r="C119" s="166">
        <f>D12</f>
        <v>46115</v>
      </c>
      <c r="D119" s="166"/>
      <c r="E119" s="167" t="s">
        <v>53</v>
      </c>
      <c r="F119" s="167"/>
      <c r="G119" s="167"/>
      <c r="H119" s="167"/>
      <c r="I119" s="167"/>
      <c r="J119" s="138"/>
      <c r="K119" s="166">
        <f>DATE($I$15,6,10)</f>
        <v>46183</v>
      </c>
      <c r="L119" s="166"/>
      <c r="M119" s="167" t="s">
        <v>54</v>
      </c>
      <c r="N119" s="167"/>
      <c r="O119" s="167"/>
      <c r="P119" s="167"/>
      <c r="Q119" s="167"/>
      <c r="S119" s="166">
        <f>DATE($I$15,12,1)</f>
        <v>46357</v>
      </c>
      <c r="T119" s="166"/>
      <c r="U119" s="167" t="s">
        <v>55</v>
      </c>
      <c r="V119" s="167"/>
      <c r="W119" s="167"/>
      <c r="X119" s="167"/>
      <c r="Y119" s="167"/>
      <c r="Z119" s="167"/>
      <c r="AB119" s="139"/>
    </row>
    <row r="120" spans="1:49" x14ac:dyDescent="0.25">
      <c r="A120" s="132"/>
      <c r="C120" s="166">
        <f>D9</f>
        <v>46117</v>
      </c>
      <c r="D120" s="166"/>
      <c r="E120" s="167" t="s">
        <v>13</v>
      </c>
      <c r="F120" s="167"/>
      <c r="G120" s="167"/>
      <c r="H120" s="167"/>
      <c r="I120" s="167"/>
      <c r="J120" s="138"/>
      <c r="K120" s="166">
        <f>D13</f>
        <v>46177</v>
      </c>
      <c r="L120" s="166"/>
      <c r="M120" s="167" t="s">
        <v>56</v>
      </c>
      <c r="N120" s="167"/>
      <c r="O120" s="167"/>
      <c r="P120" s="167"/>
      <c r="Q120" s="167"/>
      <c r="S120" s="166">
        <f>DATE($I$15,12,8)</f>
        <v>46364</v>
      </c>
      <c r="T120" s="166"/>
      <c r="U120" s="167" t="s">
        <v>57</v>
      </c>
      <c r="V120" s="167"/>
      <c r="W120" s="167"/>
      <c r="X120" s="167"/>
      <c r="Y120" s="167"/>
      <c r="AB120" s="139"/>
    </row>
    <row r="121" spans="1:49" ht="13.5" thickBot="1" x14ac:dyDescent="0.3">
      <c r="A121" s="140"/>
      <c r="B121" s="105"/>
      <c r="C121" s="168">
        <f>DATE(I15,4,25)</f>
        <v>46137</v>
      </c>
      <c r="D121" s="168"/>
      <c r="E121" s="169" t="s">
        <v>58</v>
      </c>
      <c r="F121" s="169"/>
      <c r="G121" s="169"/>
      <c r="H121" s="169"/>
      <c r="I121" s="169"/>
      <c r="J121" s="141"/>
      <c r="K121" s="168">
        <f>DATE($I$15,8,15)</f>
        <v>46249</v>
      </c>
      <c r="L121" s="168"/>
      <c r="M121" s="169" t="s">
        <v>59</v>
      </c>
      <c r="N121" s="169"/>
      <c r="O121" s="169"/>
      <c r="P121" s="169"/>
      <c r="Q121" s="169"/>
      <c r="R121" s="105"/>
      <c r="S121" s="168">
        <f>DATE($I$15,12,25)</f>
        <v>46381</v>
      </c>
      <c r="T121" s="168"/>
      <c r="U121" s="169" t="s">
        <v>60</v>
      </c>
      <c r="V121" s="169"/>
      <c r="W121" s="169"/>
      <c r="X121" s="169"/>
      <c r="Y121" s="169"/>
      <c r="Z121" s="105"/>
      <c r="AA121" s="105"/>
      <c r="AB121" s="142"/>
    </row>
    <row r="122" spans="1:49" ht="13.5" thickBot="1" x14ac:dyDescent="0.3"/>
    <row r="123" spans="1:49" x14ac:dyDescent="0.25">
      <c r="B123" s="164" t="s">
        <v>83</v>
      </c>
      <c r="C123" s="165"/>
      <c r="D123" s="165"/>
      <c r="E123" s="165"/>
      <c r="F123" s="165"/>
      <c r="G123" s="165"/>
      <c r="H123" s="165"/>
      <c r="I123" s="165"/>
      <c r="J123" s="165"/>
      <c r="K123" s="165"/>
      <c r="L123" s="170"/>
      <c r="O123" s="164" t="s">
        <v>84</v>
      </c>
      <c r="P123" s="165"/>
      <c r="Q123" s="165"/>
      <c r="R123" s="165"/>
      <c r="S123" s="165"/>
      <c r="T123" s="165"/>
      <c r="U123" s="165"/>
      <c r="V123" s="165"/>
      <c r="W123" s="165"/>
      <c r="X123" s="170"/>
      <c r="Z123" s="164" t="s">
        <v>82</v>
      </c>
      <c r="AA123" s="165"/>
      <c r="AB123" s="165"/>
      <c r="AC123" s="165"/>
      <c r="AD123" s="165"/>
      <c r="AE123" s="165"/>
      <c r="AF123" s="165"/>
      <c r="AG123" s="165"/>
      <c r="AH123" s="165"/>
      <c r="AI123" s="170"/>
      <c r="AK123" s="164"/>
      <c r="AL123" s="165"/>
      <c r="AM123" s="165"/>
      <c r="AN123" s="165"/>
      <c r="AO123" s="165"/>
      <c r="AP123" s="165"/>
      <c r="AQ123" s="165"/>
      <c r="AR123" s="165"/>
      <c r="AS123" s="165"/>
      <c r="AT123" s="170"/>
    </row>
    <row r="124" spans="1:49" ht="13.5" thickBot="1" x14ac:dyDescent="0.3">
      <c r="B124" s="140"/>
      <c r="C124" s="105"/>
      <c r="D124" s="105"/>
      <c r="E124" s="105"/>
      <c r="F124" s="105"/>
      <c r="G124" s="105"/>
      <c r="H124" s="105"/>
      <c r="I124" s="105"/>
      <c r="J124" s="105"/>
      <c r="K124" s="105"/>
      <c r="L124" s="142"/>
      <c r="O124" s="140"/>
      <c r="P124" s="105"/>
      <c r="Q124" s="105"/>
      <c r="R124" s="105"/>
      <c r="S124" s="105"/>
      <c r="T124" s="105"/>
      <c r="U124" s="105"/>
      <c r="V124" s="105"/>
      <c r="W124" s="105"/>
      <c r="X124" s="142"/>
      <c r="Z124" s="140"/>
      <c r="AA124" s="105"/>
      <c r="AB124" s="105"/>
      <c r="AC124" s="105"/>
      <c r="AD124" s="105"/>
      <c r="AE124" s="105"/>
      <c r="AF124" s="105"/>
      <c r="AG124" s="105"/>
      <c r="AH124" s="105"/>
      <c r="AI124" s="142"/>
      <c r="AK124" s="140"/>
      <c r="AL124" s="105"/>
      <c r="AM124" s="105"/>
      <c r="AN124" s="105"/>
      <c r="AO124" s="105"/>
      <c r="AP124" s="105"/>
      <c r="AQ124" s="105"/>
      <c r="AR124" s="105"/>
      <c r="AS124" s="105"/>
      <c r="AT124" s="142"/>
    </row>
    <row r="125" spans="1:49" x14ac:dyDescent="0.25">
      <c r="B125" s="171"/>
      <c r="C125" s="173" t="s">
        <v>61</v>
      </c>
      <c r="D125" s="174"/>
      <c r="E125" s="175" t="s">
        <v>62</v>
      </c>
      <c r="F125" s="176"/>
      <c r="G125" s="187"/>
      <c r="H125" s="195"/>
      <c r="I125" s="187"/>
      <c r="J125" s="188"/>
      <c r="K125" s="176" t="s">
        <v>63</v>
      </c>
      <c r="L125" s="177"/>
      <c r="O125" s="185" t="str">
        <f>C125</f>
        <v>Ferias 26</v>
      </c>
      <c r="P125" s="186"/>
      <c r="Q125" s="182" t="str">
        <f>+E125</f>
        <v>Ferias 25</v>
      </c>
      <c r="R125" s="183"/>
      <c r="S125" s="187"/>
      <c r="T125" s="195"/>
      <c r="U125" s="187"/>
      <c r="V125" s="188"/>
      <c r="W125" s="189" t="s">
        <v>63</v>
      </c>
      <c r="X125" s="188"/>
      <c r="Z125" s="185" t="str">
        <f>+C125</f>
        <v>Ferias 26</v>
      </c>
      <c r="AA125" s="186"/>
      <c r="AB125" s="182" t="str">
        <f>+E125</f>
        <v>Ferias 25</v>
      </c>
      <c r="AC125" s="183"/>
      <c r="AD125" s="187"/>
      <c r="AE125" s="195"/>
      <c r="AF125" s="187"/>
      <c r="AG125" s="188"/>
      <c r="AH125" s="183" t="s">
        <v>63</v>
      </c>
      <c r="AI125" s="184"/>
      <c r="AK125" s="173"/>
      <c r="AL125" s="174"/>
      <c r="AM125" s="175"/>
      <c r="AN125" s="176"/>
      <c r="AO125" s="187"/>
      <c r="AP125" s="195"/>
      <c r="AQ125" s="187"/>
      <c r="AR125" s="188"/>
      <c r="AS125" s="176"/>
      <c r="AT125" s="177"/>
    </row>
    <row r="126" spans="1:49" ht="13.5" thickBot="1" x14ac:dyDescent="0.3">
      <c r="B126" s="172"/>
      <c r="C126" s="178" t="s">
        <v>31</v>
      </c>
      <c r="D126" s="179"/>
      <c r="E126" s="178" t="s">
        <v>32</v>
      </c>
      <c r="F126" s="179"/>
      <c r="G126" s="199"/>
      <c r="H126" s="198"/>
      <c r="I126" s="199"/>
      <c r="J126" s="200"/>
      <c r="K126" s="179"/>
      <c r="L126" s="190"/>
      <c r="O126" s="180" t="str">
        <f>+C126</f>
        <v>F26</v>
      </c>
      <c r="P126" s="181"/>
      <c r="Q126" s="178" t="str">
        <f>+E126</f>
        <v>F25</v>
      </c>
      <c r="R126" s="179"/>
      <c r="S126" s="199"/>
      <c r="T126" s="198"/>
      <c r="U126" s="199"/>
      <c r="V126" s="200"/>
      <c r="W126" s="201"/>
      <c r="X126" s="200"/>
      <c r="Z126" s="180" t="str">
        <f>+C126</f>
        <v>F26</v>
      </c>
      <c r="AA126" s="181"/>
      <c r="AB126" s="178" t="str">
        <f>+E126</f>
        <v>F25</v>
      </c>
      <c r="AC126" s="179"/>
      <c r="AD126" s="199"/>
      <c r="AE126" s="198"/>
      <c r="AF126" s="199"/>
      <c r="AG126" s="200"/>
      <c r="AH126" s="179"/>
      <c r="AI126" s="190"/>
      <c r="AK126" s="198"/>
      <c r="AL126" s="181"/>
      <c r="AM126" s="178"/>
      <c r="AN126" s="179"/>
      <c r="AO126" s="199"/>
      <c r="AP126" s="198"/>
      <c r="AQ126" s="199"/>
      <c r="AR126" s="200"/>
      <c r="AS126" s="179"/>
      <c r="AT126" s="190"/>
    </row>
    <row r="127" spans="1:49" ht="13.5" thickBot="1" x14ac:dyDescent="0.3">
      <c r="B127" s="143" t="str">
        <f>+$B$23</f>
        <v>Pedro</v>
      </c>
      <c r="C127" s="187">
        <f>SUM(AS23,AS31,AS39,AS47,AS55,AS63,AS71,AS79,AS87,AS95,AS103,AS111)</f>
        <v>0</v>
      </c>
      <c r="D127" s="191"/>
      <c r="E127" s="182">
        <f>SUM(AT23+AT31,AT39,AT47,AT55,AT63,AT71,AT79,AT87,AT95,AT103,AT111)</f>
        <v>0</v>
      </c>
      <c r="F127" s="183"/>
      <c r="G127" s="187"/>
      <c r="H127" s="195"/>
      <c r="I127" s="187"/>
      <c r="J127" s="188"/>
      <c r="K127" s="185">
        <f>SUM(C127:J127)</f>
        <v>0</v>
      </c>
      <c r="L127" s="184"/>
      <c r="O127" s="192">
        <v>22</v>
      </c>
      <c r="P127" s="174"/>
      <c r="Q127" s="193">
        <v>0</v>
      </c>
      <c r="R127" s="194"/>
      <c r="S127" s="187"/>
      <c r="T127" s="195"/>
      <c r="U127" s="187"/>
      <c r="V127" s="188"/>
      <c r="W127" s="189">
        <f>SUM(O127:V127)</f>
        <v>22</v>
      </c>
      <c r="X127" s="188"/>
      <c r="Z127" s="192">
        <f>+O127-C127</f>
        <v>22</v>
      </c>
      <c r="AA127" s="174"/>
      <c r="AB127" s="175">
        <f>+Q127-E127</f>
        <v>0</v>
      </c>
      <c r="AC127" s="176"/>
      <c r="AD127" s="187"/>
      <c r="AE127" s="195"/>
      <c r="AF127" s="187"/>
      <c r="AG127" s="188"/>
      <c r="AH127" s="185">
        <f>SUM(Z127:AG127)</f>
        <v>22</v>
      </c>
      <c r="AI127" s="184"/>
      <c r="AK127" s="189"/>
      <c r="AL127" s="191"/>
      <c r="AM127" s="182"/>
      <c r="AN127" s="183"/>
      <c r="AO127" s="187"/>
      <c r="AP127" s="195"/>
      <c r="AQ127" s="187"/>
      <c r="AR127" s="188"/>
      <c r="AS127" s="185"/>
      <c r="AT127" s="184"/>
    </row>
    <row r="128" spans="1:49" ht="13.5" thickBot="1" x14ac:dyDescent="0.3">
      <c r="B128" s="144" t="str">
        <f>+$B$24</f>
        <v>Miguel</v>
      </c>
      <c r="C128" s="187">
        <f t="shared" ref="C128:C129" si="24">SUM(AS24,AS32,AS40,AS48,AS56,AS64,AS72,AS80,AS88,AS96,AS104,AS112)</f>
        <v>21</v>
      </c>
      <c r="D128" s="191"/>
      <c r="E128" s="182">
        <f t="shared" ref="E128:E129" si="25">SUM(AT24+AT32,AT40,AT48,AT56,AT64,AT72,AT80,AT88,AT96,AT104,AT112)</f>
        <v>8</v>
      </c>
      <c r="F128" s="183"/>
      <c r="G128" s="196"/>
      <c r="H128" s="202"/>
      <c r="I128" s="196"/>
      <c r="J128" s="197"/>
      <c r="K128" s="192">
        <f>SUM(C128:J128)</f>
        <v>29</v>
      </c>
      <c r="L128" s="177"/>
      <c r="O128" s="204">
        <v>22</v>
      </c>
      <c r="P128" s="205"/>
      <c r="Q128" s="196">
        <v>8</v>
      </c>
      <c r="R128" s="202"/>
      <c r="S128" s="196"/>
      <c r="T128" s="202"/>
      <c r="U128" s="196"/>
      <c r="V128" s="197"/>
      <c r="W128" s="206">
        <f>SUM(O128:V128)</f>
        <v>30</v>
      </c>
      <c r="X128" s="197"/>
      <c r="Z128" s="204">
        <f>+O128-C128</f>
        <v>1</v>
      </c>
      <c r="AA128" s="205"/>
      <c r="AB128" s="175">
        <f t="shared" ref="AB128:AB129" si="26">+Q128-E128</f>
        <v>0</v>
      </c>
      <c r="AC128" s="176"/>
      <c r="AD128" s="196"/>
      <c r="AE128" s="202"/>
      <c r="AF128" s="196"/>
      <c r="AG128" s="197"/>
      <c r="AH128" s="192">
        <f>SUM(Z128:AG128)</f>
        <v>1</v>
      </c>
      <c r="AI128" s="177"/>
      <c r="AK128" s="206"/>
      <c r="AL128" s="207"/>
      <c r="AM128" s="208"/>
      <c r="AN128" s="202"/>
      <c r="AO128" s="196"/>
      <c r="AP128" s="202"/>
      <c r="AQ128" s="196"/>
      <c r="AR128" s="197"/>
      <c r="AS128" s="192"/>
      <c r="AT128" s="177"/>
    </row>
    <row r="129" spans="2:46" ht="13.5" thickBot="1" x14ac:dyDescent="0.3">
      <c r="B129" s="144" t="str">
        <f>+$B$25</f>
        <v>Gichelson</v>
      </c>
      <c r="C129" s="187">
        <f t="shared" si="24"/>
        <v>22</v>
      </c>
      <c r="D129" s="191"/>
      <c r="E129" s="182">
        <f t="shared" si="25"/>
        <v>1</v>
      </c>
      <c r="F129" s="183"/>
      <c r="G129" s="196"/>
      <c r="H129" s="202"/>
      <c r="I129" s="196"/>
      <c r="J129" s="197"/>
      <c r="K129" s="192">
        <f>SUM(C129:J129)</f>
        <v>23</v>
      </c>
      <c r="L129" s="177"/>
      <c r="O129" s="204">
        <v>22</v>
      </c>
      <c r="P129" s="205"/>
      <c r="Q129" s="196">
        <v>1</v>
      </c>
      <c r="R129" s="202"/>
      <c r="S129" s="196"/>
      <c r="T129" s="202"/>
      <c r="U129" s="196"/>
      <c r="V129" s="197"/>
      <c r="W129" s="206">
        <f>SUM(O129:V129)</f>
        <v>23</v>
      </c>
      <c r="X129" s="197"/>
      <c r="Z129" s="204">
        <f>+O129-C129</f>
        <v>0</v>
      </c>
      <c r="AA129" s="205"/>
      <c r="AB129" s="175">
        <f t="shared" si="26"/>
        <v>0</v>
      </c>
      <c r="AC129" s="176"/>
      <c r="AD129" s="196"/>
      <c r="AE129" s="202"/>
      <c r="AF129" s="196"/>
      <c r="AG129" s="197"/>
      <c r="AH129" s="192">
        <f>SUM(Z129:AG129)</f>
        <v>0</v>
      </c>
      <c r="AI129" s="177"/>
      <c r="AK129" s="206"/>
      <c r="AL129" s="207"/>
      <c r="AM129" s="208"/>
      <c r="AN129" s="202"/>
      <c r="AO129" s="196"/>
      <c r="AP129" s="202"/>
      <c r="AQ129" s="196"/>
      <c r="AR129" s="197"/>
      <c r="AS129" s="192"/>
      <c r="AT129" s="177"/>
    </row>
    <row r="130" spans="2:46" ht="13.5" thickBot="1" x14ac:dyDescent="0.3">
      <c r="B130" s="145"/>
      <c r="C130" s="187"/>
      <c r="D130" s="191"/>
      <c r="E130" s="178"/>
      <c r="F130" s="179"/>
      <c r="G130" s="199"/>
      <c r="H130" s="198"/>
      <c r="I130" s="199"/>
      <c r="J130" s="200"/>
      <c r="K130" s="172"/>
      <c r="L130" s="209"/>
      <c r="O130" s="180"/>
      <c r="P130" s="181"/>
      <c r="Q130" s="178"/>
      <c r="R130" s="179"/>
      <c r="S130" s="199"/>
      <c r="T130" s="198"/>
      <c r="U130" s="199"/>
      <c r="V130" s="200"/>
      <c r="W130" s="201"/>
      <c r="X130" s="200"/>
      <c r="Z130" s="180"/>
      <c r="AA130" s="181"/>
      <c r="AB130" s="178"/>
      <c r="AC130" s="179"/>
      <c r="AD130" s="199"/>
      <c r="AE130" s="198"/>
      <c r="AF130" s="199"/>
      <c r="AG130" s="200"/>
      <c r="AH130" s="172">
        <f>SUM(Z130:AG130)</f>
        <v>0</v>
      </c>
      <c r="AI130" s="209"/>
      <c r="AK130" s="201"/>
      <c r="AL130" s="210"/>
      <c r="AM130" s="211"/>
      <c r="AN130" s="198"/>
      <c r="AO130" s="199"/>
      <c r="AP130" s="198"/>
      <c r="AQ130" s="199"/>
      <c r="AR130" s="200"/>
      <c r="AS130" s="172"/>
      <c r="AT130" s="209"/>
    </row>
    <row r="132" spans="2:46" x14ac:dyDescent="0.25">
      <c r="B132" s="146" t="s">
        <v>64</v>
      </c>
    </row>
    <row r="133" spans="2:46" x14ac:dyDescent="0.25">
      <c r="B133" s="7" t="s">
        <v>65</v>
      </c>
      <c r="C133" s="138" t="s">
        <v>66</v>
      </c>
      <c r="I133" s="147"/>
      <c r="K133" s="7" t="s">
        <v>67</v>
      </c>
    </row>
    <row r="134" spans="2:46" x14ac:dyDescent="0.25">
      <c r="B134" s="7" t="s">
        <v>32</v>
      </c>
      <c r="C134" s="138" t="s">
        <v>68</v>
      </c>
      <c r="I134" s="148"/>
      <c r="K134" s="7" t="s">
        <v>69</v>
      </c>
    </row>
    <row r="135" spans="2:46" x14ac:dyDescent="0.25">
      <c r="B135" s="7" t="s">
        <v>34</v>
      </c>
      <c r="C135" s="138" t="s">
        <v>70</v>
      </c>
    </row>
    <row r="136" spans="2:46" x14ac:dyDescent="0.25">
      <c r="B136" s="7" t="s">
        <v>71</v>
      </c>
      <c r="C136" s="138" t="s">
        <v>72</v>
      </c>
    </row>
    <row r="137" spans="2:46" x14ac:dyDescent="0.25">
      <c r="B137" s="7" t="s">
        <v>37</v>
      </c>
      <c r="C137" s="138" t="s">
        <v>73</v>
      </c>
    </row>
    <row r="138" spans="2:46" x14ac:dyDescent="0.25">
      <c r="B138" s="7" t="s">
        <v>35</v>
      </c>
      <c r="C138" s="138" t="s">
        <v>74</v>
      </c>
    </row>
    <row r="139" spans="2:46" x14ac:dyDescent="0.25">
      <c r="B139" s="7" t="s">
        <v>33</v>
      </c>
      <c r="C139" s="138" t="s">
        <v>75</v>
      </c>
    </row>
    <row r="140" spans="2:46" x14ac:dyDescent="0.25">
      <c r="C140" s="138"/>
    </row>
  </sheetData>
  <mergeCells count="182">
    <mergeCell ref="AO130:AP130"/>
    <mergeCell ref="AQ130:AR130"/>
    <mergeCell ref="AS130:AT130"/>
    <mergeCell ref="W130:X130"/>
    <mergeCell ref="Z130:AA130"/>
    <mergeCell ref="AB130:AC130"/>
    <mergeCell ref="AD130:AE130"/>
    <mergeCell ref="AF130:AG130"/>
    <mergeCell ref="AH130:AI130"/>
    <mergeCell ref="AS129:AT129"/>
    <mergeCell ref="C130:D130"/>
    <mergeCell ref="E130:F130"/>
    <mergeCell ref="G130:H130"/>
    <mergeCell ref="I130:J130"/>
    <mergeCell ref="K130:L130"/>
    <mergeCell ref="O130:P130"/>
    <mergeCell ref="Q130:R130"/>
    <mergeCell ref="S130:T130"/>
    <mergeCell ref="U130:V130"/>
    <mergeCell ref="AF129:AG129"/>
    <mergeCell ref="AH129:AI129"/>
    <mergeCell ref="AK129:AL129"/>
    <mergeCell ref="AM129:AN129"/>
    <mergeCell ref="AO129:AP129"/>
    <mergeCell ref="AQ129:AR129"/>
    <mergeCell ref="S129:T129"/>
    <mergeCell ref="U129:V129"/>
    <mergeCell ref="W129:X129"/>
    <mergeCell ref="Z129:AA129"/>
    <mergeCell ref="AB129:AC129"/>
    <mergeCell ref="AD129:AE129"/>
    <mergeCell ref="AK130:AL130"/>
    <mergeCell ref="AM130:AN130"/>
    <mergeCell ref="C129:D129"/>
    <mergeCell ref="E129:F129"/>
    <mergeCell ref="G129:H129"/>
    <mergeCell ref="I129:J129"/>
    <mergeCell ref="K129:L129"/>
    <mergeCell ref="O129:P129"/>
    <mergeCell ref="Q129:R129"/>
    <mergeCell ref="AB128:AC128"/>
    <mergeCell ref="AD128:AE128"/>
    <mergeCell ref="O128:P128"/>
    <mergeCell ref="Q128:R128"/>
    <mergeCell ref="S128:T128"/>
    <mergeCell ref="U128:V128"/>
    <mergeCell ref="W128:X128"/>
    <mergeCell ref="Z128:AA128"/>
    <mergeCell ref="AM127:AN127"/>
    <mergeCell ref="AO127:AP127"/>
    <mergeCell ref="AQ127:AR127"/>
    <mergeCell ref="AS127:AT127"/>
    <mergeCell ref="C128:D128"/>
    <mergeCell ref="E128:F128"/>
    <mergeCell ref="G128:H128"/>
    <mergeCell ref="I128:J128"/>
    <mergeCell ref="K128:L128"/>
    <mergeCell ref="W127:X127"/>
    <mergeCell ref="Z127:AA127"/>
    <mergeCell ref="AB127:AC127"/>
    <mergeCell ref="AD127:AE127"/>
    <mergeCell ref="AF127:AG127"/>
    <mergeCell ref="AH127:AI127"/>
    <mergeCell ref="AO128:AP128"/>
    <mergeCell ref="AQ128:AR128"/>
    <mergeCell ref="AS128:AT128"/>
    <mergeCell ref="AF128:AG128"/>
    <mergeCell ref="AH128:AI128"/>
    <mergeCell ref="AK128:AL128"/>
    <mergeCell ref="AM128:AN128"/>
    <mergeCell ref="C127:D127"/>
    <mergeCell ref="E127:F127"/>
    <mergeCell ref="G127:H127"/>
    <mergeCell ref="I127:J127"/>
    <mergeCell ref="K127:L127"/>
    <mergeCell ref="O127:P127"/>
    <mergeCell ref="Q127:R127"/>
    <mergeCell ref="S127:T127"/>
    <mergeCell ref="U127:V127"/>
    <mergeCell ref="AK125:AL125"/>
    <mergeCell ref="AK127:AL127"/>
    <mergeCell ref="AM125:AN125"/>
    <mergeCell ref="O125:P125"/>
    <mergeCell ref="Q125:R125"/>
    <mergeCell ref="S125:T125"/>
    <mergeCell ref="U125:V125"/>
    <mergeCell ref="W125:X125"/>
    <mergeCell ref="Z125:AA125"/>
    <mergeCell ref="AS126:AT126"/>
    <mergeCell ref="AF126:AG126"/>
    <mergeCell ref="AH126:AI126"/>
    <mergeCell ref="AK126:AL126"/>
    <mergeCell ref="AM126:AN126"/>
    <mergeCell ref="AO126:AP126"/>
    <mergeCell ref="AQ126:AR126"/>
    <mergeCell ref="S126:T126"/>
    <mergeCell ref="U126:V126"/>
    <mergeCell ref="W126:X126"/>
    <mergeCell ref="Z126:AA126"/>
    <mergeCell ref="AB126:AC126"/>
    <mergeCell ref="AD126:AE126"/>
    <mergeCell ref="B123:L123"/>
    <mergeCell ref="O123:X123"/>
    <mergeCell ref="Z123:AI123"/>
    <mergeCell ref="AK123:AT123"/>
    <mergeCell ref="B125:B126"/>
    <mergeCell ref="C125:D125"/>
    <mergeCell ref="E125:F125"/>
    <mergeCell ref="G125:H125"/>
    <mergeCell ref="I125:J125"/>
    <mergeCell ref="K125:L125"/>
    <mergeCell ref="AO125:AP125"/>
    <mergeCell ref="AQ125:AR125"/>
    <mergeCell ref="AS125:AT125"/>
    <mergeCell ref="C126:D126"/>
    <mergeCell ref="E126:F126"/>
    <mergeCell ref="G126:H126"/>
    <mergeCell ref="I126:J126"/>
    <mergeCell ref="K126:L126"/>
    <mergeCell ref="O126:P126"/>
    <mergeCell ref="Q126:R126"/>
    <mergeCell ref="AB125:AC125"/>
    <mergeCell ref="AD125:AE125"/>
    <mergeCell ref="AF125:AG125"/>
    <mergeCell ref="AH125:AI125"/>
    <mergeCell ref="C121:D121"/>
    <mergeCell ref="E121:I121"/>
    <mergeCell ref="K121:L121"/>
    <mergeCell ref="M121:Q121"/>
    <mergeCell ref="S121:T121"/>
    <mergeCell ref="U121:Y121"/>
    <mergeCell ref="C120:D120"/>
    <mergeCell ref="E120:I120"/>
    <mergeCell ref="K120:L120"/>
    <mergeCell ref="M120:Q120"/>
    <mergeCell ref="S120:T120"/>
    <mergeCell ref="U120:Y120"/>
    <mergeCell ref="C119:D119"/>
    <mergeCell ref="E119:I119"/>
    <mergeCell ref="K119:L119"/>
    <mergeCell ref="M119:Q119"/>
    <mergeCell ref="S119:T119"/>
    <mergeCell ref="U119:Z119"/>
    <mergeCell ref="S117:T117"/>
    <mergeCell ref="U117:Y117"/>
    <mergeCell ref="C118:D118"/>
    <mergeCell ref="E118:I118"/>
    <mergeCell ref="K118:L118"/>
    <mergeCell ref="M118:Q118"/>
    <mergeCell ref="S118:T118"/>
    <mergeCell ref="U118:Y118"/>
    <mergeCell ref="B108:I108"/>
    <mergeCell ref="A116:C116"/>
    <mergeCell ref="C117:D117"/>
    <mergeCell ref="E117:I117"/>
    <mergeCell ref="K117:L117"/>
    <mergeCell ref="M117:Q117"/>
    <mergeCell ref="B60:I60"/>
    <mergeCell ref="B68:I68"/>
    <mergeCell ref="B76:I76"/>
    <mergeCell ref="B84:I84"/>
    <mergeCell ref="B92:I92"/>
    <mergeCell ref="B100:I100"/>
    <mergeCell ref="B28:I28"/>
    <mergeCell ref="B36:I36"/>
    <mergeCell ref="B44:I44"/>
    <mergeCell ref="B52:I52"/>
    <mergeCell ref="A12:C12"/>
    <mergeCell ref="D12:F12"/>
    <mergeCell ref="A13:C13"/>
    <mergeCell ref="D13:F13"/>
    <mergeCell ref="I15:K15"/>
    <mergeCell ref="J18:O18"/>
    <mergeCell ref="A8:B8"/>
    <mergeCell ref="A9:C9"/>
    <mergeCell ref="D9:F9"/>
    <mergeCell ref="A10:C10"/>
    <mergeCell ref="D10:F10"/>
    <mergeCell ref="A11:C11"/>
    <mergeCell ref="D11:F11"/>
    <mergeCell ref="P18:Q18"/>
    <mergeCell ref="B20:I20"/>
  </mergeCells>
  <phoneticPr fontId="20" type="noConversion"/>
  <conditionalFormatting sqref="C127:C130">
    <cfRule type="cellIs" dxfId="122" priority="1" stopIfTrue="1" operator="greaterThan">
      <formula>O127</formula>
    </cfRule>
  </conditionalFormatting>
  <conditionalFormatting sqref="C56:D57">
    <cfRule type="cellIs" dxfId="121" priority="107" stopIfTrue="1" operator="equal">
      <formula>1</formula>
    </cfRule>
  </conditionalFormatting>
  <conditionalFormatting sqref="C22:I22">
    <cfRule type="cellIs" dxfId="120" priority="112" stopIfTrue="1" operator="equal">
      <formula>1</formula>
    </cfRule>
  </conditionalFormatting>
  <conditionalFormatting sqref="C102:I102">
    <cfRule type="cellIs" dxfId="119" priority="115" stopIfTrue="1" operator="equal">
      <formula>1</formula>
    </cfRule>
  </conditionalFormatting>
  <conditionalFormatting sqref="C110:I110">
    <cfRule type="cellIs" dxfId="118" priority="116" stopIfTrue="1" operator="equal">
      <formula>1</formula>
    </cfRule>
  </conditionalFormatting>
  <conditionalFormatting sqref="C31:K31 C32 H32:K32 C33:K33">
    <cfRule type="cellIs" dxfId="117" priority="86" stopIfTrue="1" operator="equal">
      <formula>IF(MONTH($D$10)=2,DAY($D$10),-1)</formula>
    </cfRule>
  </conditionalFormatting>
  <conditionalFormatting sqref="C63:K65">
    <cfRule type="cellIs" dxfId="116" priority="14" stopIfTrue="1" operator="equal">
      <formula>10</formula>
    </cfRule>
    <cfRule type="cellIs" dxfId="115" priority="15" stopIfTrue="1" operator="equal">
      <formula>1</formula>
    </cfRule>
    <cfRule type="cellIs" dxfId="114" priority="16" stopIfTrue="1" operator="equal">
      <formula>IF(MONTH($D$13)=6,DAY($D$13),-1)</formula>
    </cfRule>
  </conditionalFormatting>
  <conditionalFormatting sqref="C72:K73">
    <cfRule type="cellIs" dxfId="113" priority="64" stopIfTrue="1" operator="equal">
      <formula>IF(MONTH($D$13)=7,DAY($D$13),-1)</formula>
    </cfRule>
  </conditionalFormatting>
  <conditionalFormatting sqref="C94:P94">
    <cfRule type="cellIs" dxfId="112" priority="114" stopIfTrue="1" operator="equal">
      <formula>5</formula>
    </cfRule>
  </conditionalFormatting>
  <conditionalFormatting sqref="C47:X47">
    <cfRule type="cellIs" dxfId="111" priority="24" stopIfTrue="1" operator="equal">
      <formula>25</formula>
    </cfRule>
    <cfRule type="cellIs" dxfId="110" priority="25" stopIfTrue="1" operator="equal">
      <formula>IF(MONTH($D$9)=4,DAY($D$9),-1)</formula>
    </cfRule>
    <cfRule type="cellIs" dxfId="109" priority="26" stopIfTrue="1" operator="equal">
      <formula>IF(MONTH($D$12)=4,DAY($D$12),-1)</formula>
    </cfRule>
  </conditionalFormatting>
  <conditionalFormatting sqref="C30:AK30 W32:AA32 AG32:AK32 S33:Z33 AG33:AH33 AJ33:AK33">
    <cfRule type="cellIs" dxfId="108" priority="146" stopIfTrue="1" operator="equal">
      <formula>IF(MONTH($D$10)=2,DAY($D$10),-1)</formula>
    </cfRule>
  </conditionalFormatting>
  <conditionalFormatting sqref="C46:AK46 AB47 AD47 C48:M48 P48:T48 W48:AD48 C49:E49 H49:J49 L49:AB49">
    <cfRule type="cellIs" dxfId="107" priority="145" stopIfTrue="1" operator="equal">
      <formula>IF(MONTH($D$12)=4,DAY($D$12),-1)</formula>
    </cfRule>
    <cfRule type="cellIs" dxfId="106" priority="144" stopIfTrue="1" operator="equal">
      <formula>IF(MONTH($D$9)=4,DAY($D$9),-1)</formula>
    </cfRule>
    <cfRule type="cellIs" dxfId="105" priority="143" stopIfTrue="1" operator="equal">
      <formula>25</formula>
    </cfRule>
  </conditionalFormatting>
  <conditionalFormatting sqref="C54:AK54">
    <cfRule type="cellIs" dxfId="104" priority="113" stopIfTrue="1" operator="equal">
      <formula>IF(MONTH($D$13)=5,DAY($D$13),-1)</formula>
    </cfRule>
  </conditionalFormatting>
  <conditionalFormatting sqref="C54:AK55">
    <cfRule type="cellIs" dxfId="103" priority="17" stopIfTrue="1" operator="equal">
      <formula>1</formula>
    </cfRule>
  </conditionalFormatting>
  <conditionalFormatting sqref="C62:AK62 L63:AK63">
    <cfRule type="cellIs" dxfId="102" priority="53" stopIfTrue="1" operator="equal">
      <formula>10</formula>
    </cfRule>
    <cfRule type="cellIs" dxfId="101" priority="54" stopIfTrue="1" operator="equal">
      <formula>1</formula>
    </cfRule>
    <cfRule type="cellIs" dxfId="100" priority="55" stopIfTrue="1" operator="equal">
      <formula>IF(MONTH($D$13)=6,DAY($D$13),-1)</formula>
    </cfRule>
  </conditionalFormatting>
  <conditionalFormatting sqref="C70:AK70 C71:N71 S71:X71 Z71:AE71">
    <cfRule type="cellIs" dxfId="99" priority="139" stopIfTrue="1" operator="equal">
      <formula>IF(MONTH($D$13)=7,DAY($D$13),-1)</formula>
    </cfRule>
  </conditionalFormatting>
  <conditionalFormatting sqref="D96">
    <cfRule type="cellIs" dxfId="98" priority="106" stopIfTrue="1" operator="equal">
      <formula>IF(MONTH($D$13)=7,DAY($D$13),-1)</formula>
    </cfRule>
  </conditionalFormatting>
  <conditionalFormatting sqref="E56:H57">
    <cfRule type="cellIs" dxfId="97" priority="132" stopIfTrue="1" operator="equal">
      <formula>IF(MONTH($D$13)=5,DAY($D$13),-1)</formula>
    </cfRule>
  </conditionalFormatting>
  <conditionalFormatting sqref="E56:N56 P56:AG56 AK56">
    <cfRule type="cellIs" dxfId="96" priority="18" stopIfTrue="1" operator="equal">
      <formula>1</formula>
    </cfRule>
  </conditionalFormatting>
  <conditionalFormatting sqref="E57:X57">
    <cfRule type="cellIs" dxfId="95" priority="19" stopIfTrue="1" operator="equal">
      <formula>1</formula>
    </cfRule>
  </conditionalFormatting>
  <conditionalFormatting sqref="H23">
    <cfRule type="cellIs" dxfId="94" priority="10" stopIfTrue="1" operator="equal">
      <formula>IF(MONTH($D$13)=7,DAY($D$13),-1)</formula>
    </cfRule>
  </conditionalFormatting>
  <conditionalFormatting sqref="H55">
    <cfRule type="cellIs" dxfId="93" priority="20" stopIfTrue="1" operator="equal">
      <formula>IF(MONTH($D$13)=5,DAY($D$13),-1)</formula>
    </cfRule>
  </conditionalFormatting>
  <conditionalFormatting sqref="J110:P113">
    <cfRule type="cellIs" dxfId="92" priority="91" stopIfTrue="1" operator="equal">
      <formula>8</formula>
    </cfRule>
  </conditionalFormatting>
  <conditionalFormatting sqref="K79 K80:M80 K81:O81">
    <cfRule type="cellIs" dxfId="91" priority="40" stopIfTrue="1" operator="equal">
      <formula>IF(MONTH($D$13)=7,DAY($D$13),-1)</formula>
    </cfRule>
  </conditionalFormatting>
  <conditionalFormatting sqref="L31:L33">
    <cfRule type="cellIs" dxfId="90" priority="82" stopIfTrue="1" operator="equal">
      <formula>IF(MONTH($D$9)=3,DAY($D$9),-1)</formula>
    </cfRule>
    <cfRule type="cellIs" dxfId="89" priority="83" stopIfTrue="1" operator="equal">
      <formula>IF(MONTH($D$10)=3,DAY($D$10),-1)</formula>
    </cfRule>
    <cfRule type="cellIs" dxfId="88" priority="84" stopIfTrue="1" operator="equal">
      <formula>IF(MONTH($D$12)=3,DAY($D$12),-1)</formula>
    </cfRule>
  </conditionalFormatting>
  <conditionalFormatting sqref="L72:N72">
    <cfRule type="cellIs" dxfId="87" priority="51" stopIfTrue="1" operator="equal">
      <formula>IF(MONTH($D$13)=7,DAY($D$13),-1)</formula>
    </cfRule>
  </conditionalFormatting>
  <conditionalFormatting sqref="L64:O65">
    <cfRule type="cellIs" dxfId="86" priority="35" stopIfTrue="1" operator="equal">
      <formula>1</formula>
    </cfRule>
    <cfRule type="cellIs" dxfId="85" priority="34" stopIfTrue="1" operator="equal">
      <formula>10</formula>
    </cfRule>
    <cfRule type="cellIs" dxfId="84" priority="36" stopIfTrue="1" operator="equal">
      <formula>IF(MONTH($D$13)=6,DAY($D$13),-1)</formula>
    </cfRule>
  </conditionalFormatting>
  <conditionalFormatting sqref="L73:O73">
    <cfRule type="cellIs" dxfId="83" priority="57" stopIfTrue="1" operator="equal">
      <formula>IF(MONTH($D$13)=7,DAY($D$13),-1)</formula>
    </cfRule>
  </conditionalFormatting>
  <conditionalFormatting sqref="L40:AF40">
    <cfRule type="cellIs" dxfId="82" priority="27" stopIfTrue="1" operator="equal">
      <formula>IF(MONTH($D$9)=3,DAY($D$9),-1)</formula>
    </cfRule>
    <cfRule type="cellIs" dxfId="81" priority="28" stopIfTrue="1" operator="equal">
      <formula>IF(MONTH($D$10)=3,DAY($D$10),-1)</formula>
    </cfRule>
    <cfRule type="cellIs" dxfId="80" priority="29" stopIfTrue="1" operator="equal">
      <formula>IF(MONTH($D$12)=3,DAY($D$12),-1)</formula>
    </cfRule>
  </conditionalFormatting>
  <conditionalFormatting sqref="M31:Q33">
    <cfRule type="cellIs" dxfId="79" priority="87" stopIfTrue="1" operator="equal">
      <formula>IF(MONTH($D$10)=2,DAY($D$10),-1)</formula>
    </cfRule>
  </conditionalFormatting>
  <conditionalFormatting sqref="O71:O72">
    <cfRule type="cellIs" dxfId="78" priority="52" stopIfTrue="1" operator="equal">
      <formula>IF(MONTH($D$13)=7,DAY($D$13),-1)</formula>
    </cfRule>
  </conditionalFormatting>
  <conditionalFormatting sqref="P41:Q41 W41:X41 AD41:AE41 AH41:AR41">
    <cfRule type="cellIs" dxfId="77" priority="39" stopIfTrue="1" operator="equal">
      <formula>IF(MONTH($D$12)=3,DAY($D$12),-1)</formula>
    </cfRule>
    <cfRule type="cellIs" dxfId="76" priority="38" stopIfTrue="1" operator="equal">
      <formula>IF(MONTH($D$10)=3,DAY($D$10),-1)</formula>
    </cfRule>
    <cfRule type="cellIs" dxfId="75" priority="37" stopIfTrue="1" operator="equal">
      <formula>IF(MONTH($D$9)=3,DAY($D$9),-1)</formula>
    </cfRule>
  </conditionalFormatting>
  <conditionalFormatting sqref="P64:Q64 W64:AA64">
    <cfRule type="cellIs" dxfId="74" priority="11" stopIfTrue="1" operator="equal">
      <formula>10</formula>
    </cfRule>
    <cfRule type="cellIs" dxfId="73" priority="12" stopIfTrue="1" operator="equal">
      <formula>1</formula>
    </cfRule>
    <cfRule type="cellIs" dxfId="72" priority="13" stopIfTrue="1" operator="equal">
      <formula>IF(MONTH($D$13)=6,DAY($D$13),-1)</formula>
    </cfRule>
  </conditionalFormatting>
  <conditionalFormatting sqref="P71:Q73 AK71:AK73 W72:X72 AD72:AE73 X73">
    <cfRule type="cellIs" dxfId="71" priority="96" stopIfTrue="1" operator="equal">
      <formula>IF(MONTH($D$13)=7,DAY($D$13),-1)</formula>
    </cfRule>
  </conditionalFormatting>
  <conditionalFormatting sqref="P65:T65">
    <cfRule type="cellIs" dxfId="70" priority="47" stopIfTrue="1" operator="equal">
      <formula>10</formula>
    </cfRule>
    <cfRule type="cellIs" dxfId="69" priority="48" stopIfTrue="1" operator="equal">
      <formula>1</formula>
    </cfRule>
    <cfRule type="cellIs" dxfId="68" priority="49" stopIfTrue="1" operator="equal">
      <formula>IF(MONTH($D$13)=6,DAY($D$13),-1)</formula>
    </cfRule>
  </conditionalFormatting>
  <conditionalFormatting sqref="Q79:Q81">
    <cfRule type="cellIs" dxfId="67" priority="94" stopIfTrue="1" operator="equal">
      <formula>15</formula>
    </cfRule>
  </conditionalFormatting>
  <conditionalFormatting sqref="Q78:W78">
    <cfRule type="cellIs" dxfId="66" priority="138" stopIfTrue="1" operator="equal">
      <formula>15</formula>
    </cfRule>
  </conditionalFormatting>
  <conditionalFormatting sqref="R31">
    <cfRule type="cellIs" dxfId="65" priority="108" stopIfTrue="1" operator="equal">
      <formula>25</formula>
    </cfRule>
  </conditionalFormatting>
  <conditionalFormatting sqref="S31">
    <cfRule type="cellIs" dxfId="64" priority="66" stopIfTrue="1" operator="equal">
      <formula>IF(MONTH($D$10)=3,DAY($D$10),-1)</formula>
    </cfRule>
    <cfRule type="cellIs" dxfId="63" priority="65" stopIfTrue="1" operator="equal">
      <formula>IF(MONTH($D$9)=3,DAY($D$9),-1)</formula>
    </cfRule>
    <cfRule type="cellIs" dxfId="62" priority="67" stopIfTrue="1" operator="equal">
      <formula>IF(MONTH($D$12)=3,DAY($D$12),-1)</formula>
    </cfRule>
  </conditionalFormatting>
  <conditionalFormatting sqref="T31:AK31">
    <cfRule type="cellIs" dxfId="61" priority="68" stopIfTrue="1" operator="equal">
      <formula>IF(MONTH($D$10)=2,DAY($D$10),-1)</formula>
    </cfRule>
  </conditionalFormatting>
  <conditionalFormatting sqref="U80:U81">
    <cfRule type="cellIs" dxfId="60" priority="93" stopIfTrue="1" operator="equal">
      <formula>15</formula>
    </cfRule>
  </conditionalFormatting>
  <conditionalFormatting sqref="U32:V32">
    <cfRule type="cellIs" dxfId="59" priority="5" stopIfTrue="1" operator="equal">
      <formula>IF(MONTH($D$13)=7,DAY($D$13),-1)</formula>
    </cfRule>
  </conditionalFormatting>
  <conditionalFormatting sqref="U27:AA28 U35:AA36 C38:AR38 L39 N39:AR39 C39:J40 AJ40:AR40 C41:E41 I41:J41 U43:AA43 U51:AA52 U59:AA59 U67:AA67 U75:AA76 U91:AA91 U99:AA100">
    <cfRule type="cellIs" dxfId="58" priority="135" stopIfTrue="1" operator="equal">
      <formula>IF(MONTH($D$9)=3,DAY($D$9),-1)</formula>
    </cfRule>
    <cfRule type="cellIs" dxfId="57" priority="136" stopIfTrue="1" operator="equal">
      <formula>IF(MONTH($D$10)=3,DAY($D$10),-1)</formula>
    </cfRule>
    <cfRule type="cellIs" dxfId="56" priority="137" stopIfTrue="1" operator="equal">
      <formula>IF(MONTH($D$12)=3,DAY($D$12),-1)</formula>
    </cfRule>
  </conditionalFormatting>
  <conditionalFormatting sqref="W79:W81">
    <cfRule type="cellIs" dxfId="55" priority="95" stopIfTrue="1" operator="equal">
      <formula>15</formula>
    </cfRule>
  </conditionalFormatting>
  <conditionalFormatting sqref="X111:Y113">
    <cfRule type="cellIs" dxfId="54" priority="89" stopIfTrue="1" operator="equal">
      <formula>25</formula>
    </cfRule>
  </conditionalFormatting>
  <conditionalFormatting sqref="X110:AK110">
    <cfRule type="cellIs" dxfId="53" priority="134" stopIfTrue="1" operator="equal">
      <formula>25</formula>
    </cfRule>
  </conditionalFormatting>
  <conditionalFormatting sqref="Y57">
    <cfRule type="cellIs" dxfId="52" priority="119" stopIfTrue="1" operator="equal">
      <formula>IF(MONTH($D$12)=3,DAY($D$12),-1)</formula>
    </cfRule>
    <cfRule type="cellIs" dxfId="51" priority="117" stopIfTrue="1" operator="equal">
      <formula>IF(MONTH($D$9)=3,DAY($D$9),-1)</formula>
    </cfRule>
    <cfRule type="cellIs" dxfId="50" priority="118" stopIfTrue="1" operator="equal">
      <formula>IF(MONTH($D$10)=3,DAY($D$10),-1)</formula>
    </cfRule>
  </conditionalFormatting>
  <conditionalFormatting sqref="Y79">
    <cfRule type="cellIs" dxfId="49" priority="75" stopIfTrue="1" operator="equal">
      <formula>IF(MONTH($D$13)=7,DAY($D$13),-1)</formula>
    </cfRule>
  </conditionalFormatting>
  <conditionalFormatting sqref="Y24:Z24">
    <cfRule type="cellIs" dxfId="48" priority="4" stopIfTrue="1" operator="equal">
      <formula>IF(MONTH($D$13)=7,DAY($D$13),-1)</formula>
    </cfRule>
  </conditionalFormatting>
  <conditionalFormatting sqref="Z111:AC113">
    <cfRule type="cellIs" dxfId="47" priority="46" stopIfTrue="1" operator="equal">
      <formula>IF(MONTH($D$13)=6,DAY($D$13),-1)</formula>
    </cfRule>
    <cfRule type="cellIs" dxfId="46" priority="45" stopIfTrue="1" operator="equal">
      <formula>1</formula>
    </cfRule>
    <cfRule type="cellIs" dxfId="45" priority="44" stopIfTrue="1" operator="equal">
      <formula>10</formula>
    </cfRule>
  </conditionalFormatting>
  <conditionalFormatting sqref="Z57:AK57">
    <cfRule type="cellIs" dxfId="44" priority="58" stopIfTrue="1" operator="equal">
      <formula>1</formula>
    </cfRule>
  </conditionalFormatting>
  <conditionalFormatting sqref="AA113">
    <cfRule type="cellIs" dxfId="43" priority="31" stopIfTrue="1" operator="equal">
      <formula>IF(MONTH($D$13)=7,DAY($D$13),-1)</formula>
    </cfRule>
  </conditionalFormatting>
  <conditionalFormatting sqref="AA33:AB33">
    <cfRule type="cellIs" dxfId="42" priority="9" stopIfTrue="1" operator="equal">
      <formula>25</formula>
    </cfRule>
  </conditionalFormatting>
  <conditionalFormatting sqref="AB64">
    <cfRule type="cellIs" dxfId="41" priority="56" stopIfTrue="1" operator="equal">
      <formula>IF(MONTH($D$13)=7,DAY($D$13),-1)</formula>
    </cfRule>
  </conditionalFormatting>
  <conditionalFormatting sqref="AB111:AB113">
    <cfRule type="cellIs" dxfId="40" priority="88" stopIfTrue="1" operator="equal">
      <formula>25</formula>
    </cfRule>
  </conditionalFormatting>
  <conditionalFormatting sqref="AC32">
    <cfRule type="cellIs" dxfId="39" priority="2" stopIfTrue="1" operator="equal">
      <formula>25</formula>
    </cfRule>
  </conditionalFormatting>
  <conditionalFormatting sqref="AC33">
    <cfRule type="cellIs" dxfId="38" priority="6" stopIfTrue="1" operator="equal">
      <formula>10</formula>
    </cfRule>
    <cfRule type="cellIs" dxfId="37" priority="7" stopIfTrue="1" operator="equal">
      <formula>1</formula>
    </cfRule>
    <cfRule type="cellIs" dxfId="36" priority="8" stopIfTrue="1" operator="equal">
      <formula>IF(MONTH($D$13)=6,DAY($D$13),-1)</formula>
    </cfRule>
  </conditionalFormatting>
  <conditionalFormatting sqref="AC111:AC112">
    <cfRule type="cellIs" dxfId="35" priority="43" stopIfTrue="1" operator="equal">
      <formula>IF(MONTH($D$13)=6,DAY($D$13),-1)</formula>
    </cfRule>
    <cfRule type="cellIs" dxfId="34" priority="42" stopIfTrue="1" operator="equal">
      <formula>1</formula>
    </cfRule>
    <cfRule type="cellIs" dxfId="33" priority="41" stopIfTrue="1" operator="equal">
      <formula>10</formula>
    </cfRule>
  </conditionalFormatting>
  <conditionalFormatting sqref="AC113">
    <cfRule type="cellIs" dxfId="32" priority="33" stopIfTrue="1" operator="equal">
      <formula>IF(MONTH($D$13)=7,DAY($D$13),-1)</formula>
    </cfRule>
  </conditionalFormatting>
  <conditionalFormatting sqref="AD49">
    <cfRule type="cellIs" dxfId="31" priority="105" stopIfTrue="1" operator="equal">
      <formula>IF(MONTH($D$12)=4,DAY($D$12),-1)</formula>
    </cfRule>
    <cfRule type="cellIs" dxfId="30" priority="104" stopIfTrue="1" operator="equal">
      <formula>IF(MONTH($D$9)=4,DAY($D$9),-1)</formula>
    </cfRule>
    <cfRule type="cellIs" dxfId="29" priority="103" stopIfTrue="1" operator="equal">
      <formula>25</formula>
    </cfRule>
  </conditionalFormatting>
  <conditionalFormatting sqref="AD79">
    <cfRule type="cellIs" dxfId="28" priority="76" stopIfTrue="1" operator="equal">
      <formula>15</formula>
    </cfRule>
  </conditionalFormatting>
  <conditionalFormatting sqref="AD32:AF33">
    <cfRule type="cellIs" dxfId="27" priority="133" stopIfTrue="1" operator="equal">
      <formula>IF(MONTH($D$10)=2,DAY($D$10),-1)</formula>
    </cfRule>
  </conditionalFormatting>
  <conditionalFormatting sqref="AD64:AK64 V65:AH65 AK65">
    <cfRule type="cellIs" dxfId="26" priority="141" stopIfTrue="1" operator="equal">
      <formula>1</formula>
    </cfRule>
    <cfRule type="cellIs" dxfId="25" priority="142" stopIfTrue="1" operator="equal">
      <formula>IF(MONTH($D$13)=6,DAY($D$13),-1)</formula>
    </cfRule>
  </conditionalFormatting>
  <conditionalFormatting sqref="AD64:AK64 V65:AH65">
    <cfRule type="cellIs" dxfId="24" priority="140" stopIfTrue="1" operator="equal">
      <formula>10</formula>
    </cfRule>
  </conditionalFormatting>
  <conditionalFormatting sqref="AE47:AE49">
    <cfRule type="cellIs" dxfId="23" priority="59" stopIfTrue="1" operator="equal">
      <formula>IF(MONTH($D$13)=7,DAY($D$13),-1)</formula>
    </cfRule>
  </conditionalFormatting>
  <conditionalFormatting sqref="AE80:AE81">
    <cfRule type="cellIs" dxfId="22" priority="69" stopIfTrue="1" operator="equal">
      <formula>IF(MONTH($D$13)=7,DAY($D$13),-1)</formula>
    </cfRule>
  </conditionalFormatting>
  <conditionalFormatting sqref="AF88:AF89">
    <cfRule type="cellIs" dxfId="21" priority="92" stopIfTrue="1" operator="equal">
      <formula>IF(MONTH($D$13)=7,DAY($D$13),-1)</formula>
    </cfRule>
  </conditionalFormatting>
  <conditionalFormatting sqref="AF111:AG111">
    <cfRule type="cellIs" dxfId="20" priority="50" stopIfTrue="1" operator="equal">
      <formula>25</formula>
    </cfRule>
  </conditionalFormatting>
  <conditionalFormatting sqref="AG113:AH113">
    <cfRule type="cellIs" dxfId="19" priority="32" stopIfTrue="1" operator="equal">
      <formula>IF(MONTH($D$13)=7,DAY($D$13),-1)</formula>
    </cfRule>
  </conditionalFormatting>
  <conditionalFormatting sqref="AG40:AI40">
    <cfRule type="cellIs" dxfId="18" priority="109" stopIfTrue="1" operator="equal">
      <formula>25</formula>
    </cfRule>
  </conditionalFormatting>
  <conditionalFormatting sqref="AG88:AJ89">
    <cfRule type="cellIs" dxfId="17" priority="61" stopIfTrue="1" operator="equal">
      <formula>25</formula>
    </cfRule>
  </conditionalFormatting>
  <conditionalFormatting sqref="AG111:AJ113 AD111:AE113 AK112:AK113">
    <cfRule type="cellIs" dxfId="16" priority="90" stopIfTrue="1" operator="equal">
      <formula>25</formula>
    </cfRule>
  </conditionalFormatting>
  <conditionalFormatting sqref="AG47:AK49">
    <cfRule type="cellIs" dxfId="15" priority="22" stopIfTrue="1" operator="equal">
      <formula>IF(MONTH($D$9)=4,DAY($D$9),-1)</formula>
    </cfRule>
    <cfRule type="cellIs" dxfId="14" priority="21" stopIfTrue="1" operator="equal">
      <formula>25</formula>
    </cfRule>
    <cfRule type="cellIs" dxfId="13" priority="23" stopIfTrue="1" operator="equal">
      <formula>IF(MONTH($D$12)=4,DAY($D$12),-1)</formula>
    </cfRule>
  </conditionalFormatting>
  <conditionalFormatting sqref="AH111">
    <cfRule type="cellIs" dxfId="12" priority="72" stopIfTrue="1" operator="equal">
      <formula>IF(MONTH($D$13)=6,DAY($D$13),-1)</formula>
    </cfRule>
    <cfRule type="cellIs" dxfId="11" priority="71" stopIfTrue="1" operator="equal">
      <formula>1</formula>
    </cfRule>
    <cfRule type="cellIs" dxfId="10" priority="70" stopIfTrue="1" operator="equal">
      <formula>10</formula>
    </cfRule>
  </conditionalFormatting>
  <conditionalFormatting sqref="AH56:AJ56">
    <cfRule type="cellIs" dxfId="9" priority="3" stopIfTrue="1" operator="equal">
      <formula>IF(MONTH($D$13)=7,DAY($D$13),-1)</formula>
    </cfRule>
  </conditionalFormatting>
  <conditionalFormatting sqref="AI111">
    <cfRule type="cellIs" dxfId="8" priority="73" stopIfTrue="1" operator="equal">
      <formula>25</formula>
    </cfRule>
  </conditionalFormatting>
  <conditionalFormatting sqref="AI65:AJ65">
    <cfRule type="cellIs" dxfId="7" priority="120" stopIfTrue="1" operator="equal">
      <formula>IF(MONTH($D$13)=7,DAY($D$13),-1)</formula>
    </cfRule>
  </conditionalFormatting>
  <conditionalFormatting sqref="AI71:AJ71">
    <cfRule type="cellIs" dxfId="6" priority="60" stopIfTrue="1" operator="equal">
      <formula>IF(MONTH($D$13)=7,DAY($D$13),-1)</formula>
    </cfRule>
  </conditionalFormatting>
  <conditionalFormatting sqref="AJ111">
    <cfRule type="cellIs" dxfId="5" priority="30" stopIfTrue="1" operator="equal">
      <formula>IF(MONTH($D$13)=7,DAY($D$13),-1)</formula>
    </cfRule>
  </conditionalFormatting>
  <conditionalFormatting sqref="AK65">
    <cfRule type="cellIs" dxfId="4" priority="99" stopIfTrue="1" operator="equal">
      <formula>10</formula>
    </cfRule>
  </conditionalFormatting>
  <conditionalFormatting sqref="AK127:AK130">
    <cfRule type="cellIs" dxfId="3" priority="97" stopIfTrue="1" operator="greaterThan">
      <formula>O127</formula>
    </cfRule>
  </conditionalFormatting>
  <conditionalFormatting sqref="AK111:AL111">
    <cfRule type="cellIs" dxfId="2" priority="74" stopIfTrue="1" operator="equal">
      <formula>25</formula>
    </cfRule>
  </conditionalFormatting>
  <conditionalFormatting sqref="AM112">
    <cfRule type="cellIs" dxfId="1" priority="110" stopIfTrue="1" operator="equal">
      <formula>25</formula>
    </cfRule>
  </conditionalFormatting>
  <conditionalFormatting sqref="AM113">
    <cfRule type="cellIs" dxfId="0" priority="131" stopIfTrue="1" operator="equal">
      <formula>IF(MONTH($D$13)=7,DAY($D$13),-1)</formula>
    </cfRule>
  </conditionalFormatting>
  <dataValidations count="1">
    <dataValidation type="list" allowBlank="1" showInputMessage="1" showErrorMessage="1" sqref="I15:K15" xr:uid="{5AF62C26-441B-4CF6-8749-3100D346501A}">
      <formula1>ANO</formula1>
    </dataValidation>
  </dataValidations>
  <printOptions horizontalCentered="1" verticalCentered="1" gridLinesSet="0"/>
  <pageMargins left="0.23622047244094491" right="0.27559055118110237" top="0.25" bottom="0.2" header="0.25" footer="0.2"/>
  <pageSetup paperSize="9" orientation="portrait" r:id="rId1"/>
  <headerFooter alignWithMargins="0">
    <oddHeader>&amp;L&amp;"Arial"&amp;8&amp;K000000 INTERNAL&amp;1#_x000D_&amp;"Arialri"&amp;10&amp;K000000&amp;"Calibri"&amp;11&amp;K000000</oddHeader>
  </headerFooter>
  <drawing r:id="rId2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10</vt:i4>
      </vt:variant>
    </vt:vector>
  </HeadingPairs>
  <TitlesOfParts>
    <vt:vector size="12" baseType="lpstr">
      <vt:lpstr>Calendar 2025</vt:lpstr>
      <vt:lpstr>Calendar 2026</vt:lpstr>
      <vt:lpstr>'Calendar 2025'!Área_de_Impressão</vt:lpstr>
      <vt:lpstr>'Calendar 2026'!Área_de_Impressão</vt:lpstr>
      <vt:lpstr>'Calendar 2025'!HEADDAYA3</vt:lpstr>
      <vt:lpstr>'Calendar 2026'!HEADDAYA3</vt:lpstr>
      <vt:lpstr>'Calendar 2025'!HEADDAYA4</vt:lpstr>
      <vt:lpstr>'Calendar 2026'!HEADDAYA4</vt:lpstr>
      <vt:lpstr>'Calendar 2025'!HEADWEEKA3</vt:lpstr>
      <vt:lpstr>'Calendar 2026'!HEADWEEKA3</vt:lpstr>
      <vt:lpstr>'Calendar 2025'!HEADWEEKA4</vt:lpstr>
      <vt:lpstr>'Calendar 2026'!HEADWEEKA4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Cardante, Catarina (A-IIFA)</dc:creator>
  <cp:lastModifiedBy>geral@hwi.pt</cp:lastModifiedBy>
  <dcterms:created xsi:type="dcterms:W3CDTF">2026-02-27T14:11:55Z</dcterms:created>
  <dcterms:modified xsi:type="dcterms:W3CDTF">2026-09-21T11:45:18Z</dcterms:modified>
</cp:coreProperties>
</file>